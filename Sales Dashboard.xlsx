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PBA\"/>
    </mc:Choice>
  </mc:AlternateContent>
  <xr:revisionPtr revIDLastSave="0" documentId="13_ncr:1_{BBF1BDD1-8EA2-4A03-ABFA-72B4985A8903}" xr6:coauthVersionLast="47" xr6:coauthVersionMax="47" xr10:uidLastSave="{00000000-0000-0000-0000-000000000000}"/>
  <bookViews>
    <workbookView xWindow="-108" yWindow="-108" windowWidth="23256" windowHeight="12456" firstSheet="6" activeTab="8" xr2:uid="{38F6AA59-316B-4D69-A2F6-79CB5E577C85}"/>
  </bookViews>
  <sheets>
    <sheet name="Sheet1" sheetId="2" r:id="rId1"/>
    <sheet name="Background" sheetId="3" r:id="rId2"/>
    <sheet name="Region wise sales" sheetId="4" r:id="rId3"/>
    <sheet name="Departmentwise sales" sheetId="5" r:id="rId4"/>
    <sheet name="Top 5 Product Wise Sales" sheetId="6" r:id="rId5"/>
    <sheet name="onthWise sales" sheetId="7" r:id="rId6"/>
    <sheet name="linechart of monthwise sales" sheetId="9" r:id="rId7"/>
    <sheet name="Sheet9" sheetId="11" r:id="rId8"/>
    <sheet name="Dashbord sheet" sheetId="12" r:id="rId9"/>
    <sheet name="Raw Data" sheetId="1" r:id="rId10"/>
  </sheets>
  <definedNames>
    <definedName name="Slicer_Manager">#N/A</definedName>
    <definedName name="Slicer_Month">#N/A</definedName>
  </definedNames>
  <calcPr calcId="191029"/>
  <pivotCaches>
    <pivotCache cacheId="639" r:id="rId11"/>
    <pivotCache cacheId="64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1" l="1"/>
  <c r="C8" i="11"/>
  <c r="D8" i="11"/>
  <c r="A8" i="11"/>
  <c r="K3" i="1"/>
  <c r="L3" i="1"/>
  <c r="K4" i="1"/>
  <c r="L4" i="1"/>
  <c r="K5" i="1"/>
  <c r="L5" i="1"/>
  <c r="K6" i="1"/>
  <c r="L6" i="1"/>
  <c r="K7" i="1"/>
  <c r="L7" i="1"/>
  <c r="K8" i="1"/>
  <c r="L8" i="1"/>
  <c r="K9" i="1"/>
  <c r="L9" i="1"/>
  <c r="K10" i="1"/>
  <c r="L10" i="1"/>
  <c r="K11" i="1"/>
  <c r="L11" i="1"/>
  <c r="K12" i="1"/>
  <c r="L12" i="1"/>
  <c r="K13" i="1"/>
  <c r="L13" i="1"/>
  <c r="K14" i="1"/>
  <c r="L14" i="1"/>
  <c r="K15" i="1"/>
  <c r="L15" i="1"/>
  <c r="K16" i="1"/>
  <c r="L16" i="1"/>
  <c r="K17" i="1"/>
  <c r="L17" i="1"/>
  <c r="K18" i="1"/>
  <c r="L18" i="1"/>
  <c r="K19" i="1"/>
  <c r="L19" i="1"/>
  <c r="K20" i="1"/>
  <c r="L20" i="1"/>
  <c r="K21" i="1"/>
  <c r="L21" i="1"/>
  <c r="K22" i="1"/>
  <c r="L22" i="1"/>
  <c r="K23" i="1"/>
  <c r="L23" i="1"/>
  <c r="K24" i="1"/>
  <c r="L24" i="1"/>
  <c r="K25" i="1"/>
  <c r="L25" i="1"/>
  <c r="K26" i="1"/>
  <c r="L26" i="1"/>
  <c r="K27" i="1"/>
  <c r="L27" i="1"/>
  <c r="K28" i="1"/>
  <c r="L28" i="1"/>
  <c r="K29" i="1"/>
  <c r="L29" i="1"/>
  <c r="K30" i="1"/>
  <c r="L30" i="1"/>
  <c r="K31" i="1"/>
  <c r="L31" i="1"/>
  <c r="K32" i="1"/>
  <c r="L32" i="1"/>
  <c r="K33" i="1"/>
  <c r="L33" i="1"/>
  <c r="K34" i="1"/>
  <c r="L34" i="1"/>
  <c r="K35" i="1"/>
  <c r="L35" i="1"/>
  <c r="K36" i="1"/>
  <c r="L36" i="1"/>
  <c r="K37" i="1"/>
  <c r="L37" i="1"/>
  <c r="K38" i="1"/>
  <c r="L38" i="1"/>
  <c r="K39" i="1"/>
  <c r="L39" i="1"/>
  <c r="K40" i="1"/>
  <c r="L40" i="1"/>
  <c r="K41" i="1"/>
  <c r="L41" i="1"/>
  <c r="K42" i="1"/>
  <c r="L42" i="1"/>
  <c r="K43" i="1"/>
  <c r="L43" i="1"/>
  <c r="K44" i="1"/>
  <c r="L44" i="1"/>
  <c r="K45" i="1"/>
  <c r="L45" i="1"/>
  <c r="K46" i="1"/>
  <c r="L46" i="1"/>
  <c r="K47" i="1"/>
  <c r="L47" i="1"/>
  <c r="K48" i="1"/>
  <c r="L48" i="1"/>
  <c r="K49" i="1"/>
  <c r="L49" i="1"/>
  <c r="K50" i="1"/>
  <c r="L50" i="1"/>
  <c r="K51" i="1"/>
  <c r="L51" i="1"/>
  <c r="K52" i="1"/>
  <c r="L52" i="1"/>
  <c r="K53" i="1"/>
  <c r="L53" i="1"/>
  <c r="K54" i="1"/>
  <c r="L54" i="1"/>
  <c r="K55" i="1"/>
  <c r="L55" i="1"/>
  <c r="K56" i="1"/>
  <c r="L56" i="1"/>
  <c r="K57" i="1"/>
  <c r="L57" i="1"/>
  <c r="K58" i="1"/>
  <c r="L58" i="1"/>
  <c r="K59" i="1"/>
  <c r="L59" i="1"/>
  <c r="K60" i="1"/>
  <c r="L60" i="1"/>
  <c r="K61" i="1"/>
  <c r="L61" i="1"/>
  <c r="K62" i="1"/>
  <c r="L62" i="1"/>
  <c r="K63" i="1"/>
  <c r="L63" i="1"/>
  <c r="K64" i="1"/>
  <c r="L64" i="1"/>
  <c r="K65" i="1"/>
  <c r="L65" i="1"/>
  <c r="K66" i="1"/>
  <c r="L66" i="1"/>
  <c r="K67" i="1"/>
  <c r="L67" i="1"/>
  <c r="K68" i="1"/>
  <c r="L68" i="1"/>
  <c r="K69" i="1"/>
  <c r="L69" i="1"/>
  <c r="K70" i="1"/>
  <c r="L70" i="1"/>
  <c r="K71" i="1"/>
  <c r="L71" i="1"/>
  <c r="K72" i="1"/>
  <c r="L72" i="1"/>
  <c r="K73" i="1"/>
  <c r="L73" i="1"/>
  <c r="K74" i="1"/>
  <c r="L74" i="1"/>
  <c r="K75" i="1"/>
  <c r="L75" i="1"/>
  <c r="K76" i="1"/>
  <c r="L76" i="1"/>
  <c r="K77" i="1"/>
  <c r="L77" i="1"/>
  <c r="K78" i="1"/>
  <c r="L78" i="1"/>
  <c r="K79" i="1"/>
  <c r="L79" i="1"/>
  <c r="K80" i="1"/>
  <c r="L80" i="1"/>
  <c r="K81" i="1"/>
  <c r="L81" i="1"/>
  <c r="K82" i="1"/>
  <c r="L82" i="1"/>
  <c r="K83" i="1"/>
  <c r="L83" i="1"/>
  <c r="K84" i="1"/>
  <c r="L84" i="1"/>
  <c r="K85" i="1"/>
  <c r="L85" i="1"/>
  <c r="K86" i="1"/>
  <c r="L86" i="1"/>
  <c r="K87" i="1"/>
  <c r="L87" i="1"/>
  <c r="K88" i="1"/>
  <c r="L88" i="1"/>
  <c r="K89" i="1"/>
  <c r="L89" i="1"/>
  <c r="K90" i="1"/>
  <c r="L90" i="1"/>
  <c r="K91" i="1"/>
  <c r="L91" i="1"/>
  <c r="K92" i="1"/>
  <c r="L92" i="1"/>
  <c r="K93" i="1"/>
  <c r="L93" i="1"/>
  <c r="K94" i="1"/>
  <c r="L94" i="1"/>
  <c r="K95" i="1"/>
  <c r="L95" i="1"/>
  <c r="K96" i="1"/>
  <c r="L96" i="1"/>
  <c r="K97" i="1"/>
  <c r="L97" i="1"/>
  <c r="K98" i="1"/>
  <c r="L98" i="1"/>
  <c r="K99" i="1"/>
  <c r="L99" i="1"/>
  <c r="K100" i="1"/>
  <c r="L100" i="1"/>
  <c r="K101" i="1"/>
  <c r="L101" i="1"/>
  <c r="K102" i="1"/>
  <c r="L102" i="1"/>
  <c r="K103" i="1"/>
  <c r="L103" i="1"/>
  <c r="K104" i="1"/>
  <c r="L104" i="1"/>
  <c r="K105" i="1"/>
  <c r="L105" i="1"/>
  <c r="K106" i="1"/>
  <c r="L106" i="1"/>
  <c r="K107" i="1"/>
  <c r="L107" i="1"/>
  <c r="K108" i="1"/>
  <c r="L108" i="1"/>
  <c r="K109" i="1"/>
  <c r="L109" i="1"/>
  <c r="K110" i="1"/>
  <c r="L110" i="1"/>
  <c r="K111" i="1"/>
  <c r="L111" i="1"/>
  <c r="K112" i="1"/>
  <c r="L112" i="1"/>
  <c r="K113" i="1"/>
  <c r="L113" i="1"/>
  <c r="K114" i="1"/>
  <c r="L114" i="1"/>
  <c r="K115" i="1"/>
  <c r="L115" i="1"/>
  <c r="K116" i="1"/>
  <c r="L116" i="1"/>
  <c r="K117" i="1"/>
  <c r="L117" i="1"/>
  <c r="K118" i="1"/>
  <c r="L118" i="1"/>
  <c r="K119" i="1"/>
  <c r="L119" i="1"/>
  <c r="K120" i="1"/>
  <c r="L120" i="1"/>
  <c r="K121" i="1"/>
  <c r="L121" i="1"/>
  <c r="K122" i="1"/>
  <c r="L122" i="1"/>
  <c r="K123" i="1"/>
  <c r="L123" i="1"/>
  <c r="K124" i="1"/>
  <c r="L124" i="1"/>
  <c r="K125" i="1"/>
  <c r="L125" i="1"/>
  <c r="K126" i="1"/>
  <c r="L126" i="1"/>
  <c r="K127" i="1"/>
  <c r="L127" i="1"/>
  <c r="K128" i="1"/>
  <c r="L128" i="1"/>
  <c r="K129" i="1"/>
  <c r="L129" i="1"/>
  <c r="K130" i="1"/>
  <c r="L130" i="1"/>
  <c r="K131" i="1"/>
  <c r="L131" i="1"/>
  <c r="K132" i="1"/>
  <c r="L132" i="1"/>
  <c r="K133" i="1"/>
  <c r="L133" i="1"/>
  <c r="K134" i="1"/>
  <c r="L134" i="1"/>
  <c r="K135" i="1"/>
  <c r="L135" i="1"/>
  <c r="K136" i="1"/>
  <c r="L136" i="1"/>
  <c r="K137" i="1"/>
  <c r="L137" i="1"/>
  <c r="K138" i="1"/>
  <c r="L138" i="1"/>
  <c r="K139" i="1"/>
  <c r="L139" i="1"/>
  <c r="K140" i="1"/>
  <c r="L140" i="1"/>
  <c r="K141" i="1"/>
  <c r="L141" i="1"/>
  <c r="K142" i="1"/>
  <c r="L142" i="1"/>
  <c r="K143" i="1"/>
  <c r="L143" i="1"/>
  <c r="K144" i="1"/>
  <c r="L144" i="1"/>
  <c r="K145" i="1"/>
  <c r="L145" i="1"/>
  <c r="K146" i="1"/>
  <c r="L146" i="1"/>
  <c r="K147" i="1"/>
  <c r="L147" i="1"/>
  <c r="K148" i="1"/>
  <c r="L148" i="1"/>
  <c r="K149" i="1"/>
  <c r="L149" i="1"/>
  <c r="K150" i="1"/>
  <c r="L150" i="1"/>
  <c r="K151" i="1"/>
  <c r="L151" i="1"/>
  <c r="K152" i="1"/>
  <c r="L152" i="1"/>
  <c r="K153" i="1"/>
  <c r="L153" i="1"/>
  <c r="K154" i="1"/>
  <c r="L154" i="1"/>
  <c r="K155" i="1"/>
  <c r="L155" i="1"/>
  <c r="K156" i="1"/>
  <c r="L156" i="1"/>
  <c r="K157" i="1"/>
  <c r="L157" i="1"/>
  <c r="K158" i="1"/>
  <c r="L158" i="1"/>
  <c r="K159" i="1"/>
  <c r="L159" i="1"/>
  <c r="K160" i="1"/>
  <c r="L160" i="1"/>
  <c r="K161" i="1"/>
  <c r="L161" i="1"/>
  <c r="K162" i="1"/>
  <c r="L162" i="1"/>
  <c r="K163" i="1"/>
  <c r="L163" i="1"/>
  <c r="K164" i="1"/>
  <c r="L164" i="1"/>
  <c r="K165" i="1"/>
  <c r="L165" i="1"/>
  <c r="K166" i="1"/>
  <c r="L166" i="1"/>
  <c r="K167" i="1"/>
  <c r="L167" i="1"/>
  <c r="K168" i="1"/>
  <c r="L168" i="1"/>
  <c r="K169" i="1"/>
  <c r="L169" i="1"/>
  <c r="K170" i="1"/>
  <c r="L170" i="1"/>
  <c r="K171" i="1"/>
  <c r="L171" i="1"/>
  <c r="K172" i="1"/>
  <c r="L172" i="1"/>
  <c r="K173" i="1"/>
  <c r="L173" i="1"/>
  <c r="K174" i="1"/>
  <c r="L174" i="1"/>
  <c r="K175" i="1"/>
  <c r="L175" i="1"/>
  <c r="K176" i="1"/>
  <c r="L176" i="1"/>
  <c r="K177" i="1"/>
  <c r="L177" i="1"/>
  <c r="K178" i="1"/>
  <c r="L178" i="1"/>
  <c r="K179" i="1"/>
  <c r="L179" i="1"/>
  <c r="K180" i="1"/>
  <c r="L180" i="1"/>
  <c r="K181" i="1"/>
  <c r="L181" i="1"/>
  <c r="K182" i="1"/>
  <c r="L182" i="1"/>
  <c r="K183" i="1"/>
  <c r="L183" i="1"/>
  <c r="K184" i="1"/>
  <c r="L184" i="1"/>
  <c r="K185" i="1"/>
  <c r="L185" i="1"/>
  <c r="K186" i="1"/>
  <c r="L186" i="1"/>
  <c r="K187" i="1"/>
  <c r="L187" i="1"/>
  <c r="K188" i="1"/>
  <c r="L188" i="1"/>
  <c r="K189" i="1"/>
  <c r="L189" i="1"/>
  <c r="K190" i="1"/>
  <c r="L190" i="1"/>
  <c r="K191" i="1"/>
  <c r="L191" i="1"/>
  <c r="K192" i="1"/>
  <c r="L192" i="1"/>
  <c r="K193" i="1"/>
  <c r="L193" i="1"/>
  <c r="K194" i="1"/>
  <c r="L194" i="1"/>
  <c r="K195" i="1"/>
  <c r="L195" i="1"/>
  <c r="K196" i="1"/>
  <c r="L196" i="1"/>
  <c r="K197" i="1"/>
  <c r="L197" i="1"/>
  <c r="K198" i="1"/>
  <c r="L198" i="1"/>
  <c r="K199" i="1"/>
  <c r="L199" i="1"/>
  <c r="K200" i="1"/>
  <c r="L200" i="1"/>
  <c r="K201" i="1"/>
  <c r="L201" i="1"/>
  <c r="K202" i="1"/>
  <c r="L202" i="1"/>
  <c r="K203" i="1"/>
  <c r="L203" i="1"/>
  <c r="K204" i="1"/>
  <c r="L204" i="1"/>
  <c r="K205" i="1"/>
  <c r="L205" i="1"/>
  <c r="K206" i="1"/>
  <c r="L206" i="1"/>
  <c r="K207" i="1"/>
  <c r="L207" i="1"/>
  <c r="K208" i="1"/>
  <c r="L208" i="1"/>
  <c r="K209" i="1"/>
  <c r="L209" i="1"/>
  <c r="K210" i="1"/>
  <c r="L210" i="1"/>
  <c r="K211" i="1"/>
  <c r="L211" i="1"/>
  <c r="K212" i="1"/>
  <c r="L212" i="1"/>
  <c r="K213" i="1"/>
  <c r="L213" i="1"/>
  <c r="K214" i="1"/>
  <c r="L214" i="1"/>
  <c r="K215" i="1"/>
  <c r="L215" i="1"/>
  <c r="K216" i="1"/>
  <c r="L216" i="1"/>
  <c r="K217" i="1"/>
  <c r="L217" i="1"/>
  <c r="K218" i="1"/>
  <c r="L218" i="1"/>
  <c r="K219" i="1"/>
  <c r="L219" i="1"/>
  <c r="K220" i="1"/>
  <c r="L220" i="1"/>
  <c r="K221" i="1"/>
  <c r="L221" i="1"/>
  <c r="K222" i="1"/>
  <c r="L222" i="1"/>
  <c r="K223" i="1"/>
  <c r="L223" i="1"/>
  <c r="K224" i="1"/>
  <c r="L224" i="1"/>
  <c r="K225" i="1"/>
  <c r="L225" i="1"/>
  <c r="K226" i="1"/>
  <c r="L226" i="1"/>
  <c r="K227" i="1"/>
  <c r="L227" i="1"/>
  <c r="K228" i="1"/>
  <c r="L228" i="1"/>
  <c r="K229" i="1"/>
  <c r="L229" i="1"/>
  <c r="K230" i="1"/>
  <c r="L230" i="1"/>
  <c r="K231" i="1"/>
  <c r="L231" i="1"/>
  <c r="K232" i="1"/>
  <c r="L232" i="1"/>
  <c r="K233" i="1"/>
  <c r="L233" i="1"/>
  <c r="K234" i="1"/>
  <c r="L234" i="1"/>
  <c r="K235" i="1"/>
  <c r="L235" i="1"/>
  <c r="K236" i="1"/>
  <c r="L236" i="1"/>
  <c r="K237" i="1"/>
  <c r="L237" i="1"/>
  <c r="K238" i="1"/>
  <c r="L238" i="1"/>
  <c r="K239" i="1"/>
  <c r="L239" i="1"/>
  <c r="K240" i="1"/>
  <c r="L240" i="1"/>
  <c r="K241" i="1"/>
  <c r="L241" i="1"/>
  <c r="K242" i="1"/>
  <c r="L242" i="1"/>
  <c r="K243" i="1"/>
  <c r="L243" i="1"/>
  <c r="K244" i="1"/>
  <c r="L244" i="1"/>
  <c r="K245" i="1"/>
  <c r="L245" i="1"/>
  <c r="K246" i="1"/>
  <c r="L246" i="1"/>
  <c r="K247" i="1"/>
  <c r="L247" i="1"/>
  <c r="K248" i="1"/>
  <c r="L248" i="1"/>
  <c r="K249" i="1"/>
  <c r="L249" i="1"/>
  <c r="K250" i="1"/>
  <c r="L250" i="1"/>
  <c r="K251" i="1"/>
  <c r="L251" i="1"/>
  <c r="K252" i="1"/>
  <c r="L252" i="1"/>
  <c r="K253" i="1"/>
  <c r="L253" i="1"/>
  <c r="K254" i="1"/>
  <c r="L254" i="1"/>
  <c r="K255" i="1"/>
  <c r="L255" i="1"/>
  <c r="K256" i="1"/>
  <c r="L256" i="1"/>
  <c r="K257" i="1"/>
  <c r="L257" i="1"/>
  <c r="K258" i="1"/>
  <c r="L258" i="1"/>
  <c r="K259" i="1"/>
  <c r="L259" i="1"/>
  <c r="K260" i="1"/>
  <c r="L260" i="1"/>
  <c r="K261" i="1"/>
  <c r="L261" i="1"/>
  <c r="K262" i="1"/>
  <c r="L262" i="1"/>
  <c r="K263" i="1"/>
  <c r="L263" i="1"/>
  <c r="K264" i="1"/>
  <c r="L264" i="1"/>
  <c r="K265" i="1"/>
  <c r="L265" i="1"/>
  <c r="K266" i="1"/>
  <c r="L266" i="1"/>
  <c r="K267" i="1"/>
  <c r="L267" i="1"/>
  <c r="K268" i="1"/>
  <c r="L268" i="1"/>
  <c r="K269" i="1"/>
  <c r="L269" i="1"/>
  <c r="K270" i="1"/>
  <c r="L270" i="1"/>
  <c r="K271" i="1"/>
  <c r="L271" i="1"/>
  <c r="K272" i="1"/>
  <c r="L272" i="1"/>
  <c r="K273" i="1"/>
  <c r="L273" i="1"/>
  <c r="K274" i="1"/>
  <c r="L274" i="1"/>
  <c r="K275" i="1"/>
  <c r="L275" i="1"/>
  <c r="K276" i="1"/>
  <c r="L276" i="1"/>
  <c r="K277" i="1"/>
  <c r="L277" i="1"/>
  <c r="K278" i="1"/>
  <c r="L278" i="1"/>
  <c r="K279" i="1"/>
  <c r="L279" i="1"/>
  <c r="K280" i="1"/>
  <c r="L280" i="1"/>
  <c r="K281" i="1"/>
  <c r="L281" i="1"/>
  <c r="K282" i="1"/>
  <c r="L282" i="1"/>
  <c r="K283" i="1"/>
  <c r="L283" i="1"/>
  <c r="K284" i="1"/>
  <c r="L284" i="1"/>
  <c r="K285" i="1"/>
  <c r="L285" i="1"/>
  <c r="K286" i="1"/>
  <c r="L286" i="1"/>
  <c r="K287" i="1"/>
  <c r="L287" i="1"/>
  <c r="K288" i="1"/>
  <c r="L288" i="1"/>
  <c r="K289" i="1"/>
  <c r="L289" i="1"/>
  <c r="K290" i="1"/>
  <c r="L290" i="1"/>
  <c r="K291" i="1"/>
  <c r="L291" i="1"/>
  <c r="K292" i="1"/>
  <c r="L292" i="1"/>
  <c r="K293" i="1"/>
  <c r="L293" i="1"/>
  <c r="K294" i="1"/>
  <c r="L294" i="1"/>
  <c r="K295" i="1"/>
  <c r="L295" i="1"/>
  <c r="K296" i="1"/>
  <c r="L296" i="1"/>
  <c r="K297" i="1"/>
  <c r="L297" i="1"/>
  <c r="K298" i="1"/>
  <c r="L298" i="1"/>
  <c r="K299" i="1"/>
  <c r="L299" i="1"/>
  <c r="K300" i="1"/>
  <c r="L300" i="1"/>
  <c r="K301" i="1"/>
  <c r="L301" i="1"/>
  <c r="K302" i="1"/>
  <c r="L302" i="1"/>
  <c r="K303" i="1"/>
  <c r="L303" i="1"/>
  <c r="K304" i="1"/>
  <c r="L304" i="1"/>
  <c r="K305" i="1"/>
  <c r="L305" i="1"/>
  <c r="K306" i="1"/>
  <c r="L306" i="1"/>
  <c r="K307" i="1"/>
  <c r="L307" i="1"/>
  <c r="K308" i="1"/>
  <c r="L308" i="1"/>
  <c r="K309" i="1"/>
  <c r="L309" i="1"/>
  <c r="K310" i="1"/>
  <c r="L310" i="1"/>
  <c r="K311" i="1"/>
  <c r="L311" i="1"/>
  <c r="K312" i="1"/>
  <c r="L312" i="1"/>
  <c r="K313" i="1"/>
  <c r="L313" i="1"/>
  <c r="K314" i="1"/>
  <c r="L314" i="1"/>
  <c r="K315" i="1"/>
  <c r="L315" i="1"/>
  <c r="K316" i="1"/>
  <c r="L316" i="1"/>
  <c r="K317" i="1"/>
  <c r="L317" i="1"/>
  <c r="K318" i="1"/>
  <c r="L318" i="1"/>
  <c r="K319" i="1"/>
  <c r="L319" i="1"/>
  <c r="K320" i="1"/>
  <c r="L320" i="1"/>
  <c r="K321" i="1"/>
  <c r="L321" i="1"/>
  <c r="K322" i="1"/>
  <c r="L322" i="1"/>
  <c r="K323" i="1"/>
  <c r="L323" i="1"/>
  <c r="K324" i="1"/>
  <c r="L324" i="1"/>
  <c r="K325" i="1"/>
  <c r="L325" i="1"/>
  <c r="K326" i="1"/>
  <c r="L326" i="1"/>
  <c r="K327" i="1"/>
  <c r="L327" i="1"/>
  <c r="K328" i="1"/>
  <c r="L328" i="1"/>
  <c r="K329" i="1"/>
  <c r="L329" i="1"/>
  <c r="K330" i="1"/>
  <c r="L330" i="1"/>
  <c r="K331" i="1"/>
  <c r="L331" i="1"/>
  <c r="K332" i="1"/>
  <c r="L332" i="1"/>
  <c r="K333" i="1"/>
  <c r="L333" i="1"/>
  <c r="K334" i="1"/>
  <c r="L334" i="1"/>
  <c r="K335" i="1"/>
  <c r="L335" i="1"/>
  <c r="K336" i="1"/>
  <c r="L336" i="1"/>
  <c r="K337" i="1"/>
  <c r="L337" i="1"/>
  <c r="K338" i="1"/>
  <c r="L338" i="1"/>
  <c r="K339" i="1"/>
  <c r="L339" i="1"/>
  <c r="K340" i="1"/>
  <c r="L340" i="1"/>
  <c r="K341" i="1"/>
  <c r="L341" i="1"/>
  <c r="K342" i="1"/>
  <c r="L342" i="1"/>
  <c r="K343" i="1"/>
  <c r="L343" i="1"/>
  <c r="K344" i="1"/>
  <c r="L344" i="1"/>
  <c r="K345" i="1"/>
  <c r="L345" i="1"/>
  <c r="K346" i="1"/>
  <c r="L346" i="1"/>
  <c r="K347" i="1"/>
  <c r="L347" i="1"/>
  <c r="K348" i="1"/>
  <c r="L348" i="1"/>
  <c r="K349" i="1"/>
  <c r="L349" i="1"/>
  <c r="K350" i="1"/>
  <c r="L350" i="1"/>
  <c r="L2" i="1"/>
  <c r="K2" i="1"/>
  <c r="C8" i="2"/>
  <c r="D8" i="2"/>
  <c r="B8" i="2"/>
  <c r="A8" i="2"/>
</calcChain>
</file>

<file path=xl/sharedStrings.xml><?xml version="1.0" encoding="utf-8"?>
<sst xmlns="http://schemas.openxmlformats.org/spreadsheetml/2006/main" count="1822" uniqueCount="66">
  <si>
    <t>Order Date</t>
  </si>
  <si>
    <t>Sales</t>
  </si>
  <si>
    <t>Profit</t>
  </si>
  <si>
    <t>Quantity</t>
  </si>
  <si>
    <t>Region</t>
  </si>
  <si>
    <t>Departments</t>
  </si>
  <si>
    <t>Manager</t>
  </si>
  <si>
    <t>Customer Name</t>
  </si>
  <si>
    <t>Product</t>
  </si>
  <si>
    <t>Target</t>
  </si>
  <si>
    <t>South</t>
  </si>
  <si>
    <t>Marketing</t>
  </si>
  <si>
    <t>Sham</t>
  </si>
  <si>
    <t>Sunny</t>
  </si>
  <si>
    <t>Toys</t>
  </si>
  <si>
    <t>Operations</t>
  </si>
  <si>
    <t>Kishan</t>
  </si>
  <si>
    <t>Reena</t>
  </si>
  <si>
    <t>Machines</t>
  </si>
  <si>
    <t>North</t>
  </si>
  <si>
    <t>Rohit</t>
  </si>
  <si>
    <t>Computers</t>
  </si>
  <si>
    <t>Imran</t>
  </si>
  <si>
    <t>Surya</t>
  </si>
  <si>
    <t>Furnitures</t>
  </si>
  <si>
    <t>Naveen</t>
  </si>
  <si>
    <t>Appliances</t>
  </si>
  <si>
    <t>East</t>
  </si>
  <si>
    <t>Radhe</t>
  </si>
  <si>
    <t>West</t>
  </si>
  <si>
    <t>Ram</t>
  </si>
  <si>
    <t>Bobby</t>
  </si>
  <si>
    <t>Raveena</t>
  </si>
  <si>
    <t>Mohan</t>
  </si>
  <si>
    <t>Mobiles</t>
  </si>
  <si>
    <t>Suraj</t>
  </si>
  <si>
    <t>Jenny</t>
  </si>
  <si>
    <t>Akash</t>
  </si>
  <si>
    <t>Roman</t>
  </si>
  <si>
    <t>Count of Customer Name</t>
  </si>
  <si>
    <t>Sum of Sales</t>
  </si>
  <si>
    <t>Sum of Profit</t>
  </si>
  <si>
    <t>Sum of Quantity</t>
  </si>
  <si>
    <t>Total Orders</t>
  </si>
  <si>
    <t>Total sales</t>
  </si>
  <si>
    <t>Total profit</t>
  </si>
  <si>
    <t>Product sold</t>
  </si>
  <si>
    <t>x</t>
  </si>
  <si>
    <t>Month</t>
  </si>
  <si>
    <t>Year</t>
  </si>
  <si>
    <t>Row Labels</t>
  </si>
  <si>
    <t>Grand Total</t>
  </si>
  <si>
    <t>Jan</t>
  </si>
  <si>
    <t>Feb</t>
  </si>
  <si>
    <t>Mar</t>
  </si>
  <si>
    <t>Apr</t>
  </si>
  <si>
    <t>May</t>
  </si>
  <si>
    <t>Jun</t>
  </si>
  <si>
    <t>Jul</t>
  </si>
  <si>
    <t>Aug</t>
  </si>
  <si>
    <t>Sep</t>
  </si>
  <si>
    <t>Oct</t>
  </si>
  <si>
    <t>Nov</t>
  </si>
  <si>
    <t>Dec</t>
  </si>
  <si>
    <t>Sum of Sales2</t>
  </si>
  <si>
    <t>Sum of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</si>
</sst>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k"/>
  </numFmts>
  <fonts count="2" x14ac:knownFonts="1">
    <font>
      <sz val="14"/>
      <color theme="1"/>
      <name val="Segoe UI Semibold"/>
      <family val="2"/>
    </font>
    <font>
      <b/>
      <sz val="14"/>
      <color theme="0"/>
      <name val="Segoe UI Semibold"/>
      <family val="2"/>
    </font>
  </fonts>
  <fills count="4">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1" fillId="2" borderId="4" xfId="0" applyFont="1" applyFill="1" applyBorder="1"/>
    <xf numFmtId="0" fontId="1" fillId="2" borderId="3" xfId="0" applyFont="1" applyFill="1" applyBorder="1"/>
    <xf numFmtId="0" fontId="0" fillId="3" borderId="4" xfId="0" applyFill="1" applyBorder="1"/>
    <xf numFmtId="0" fontId="0" fillId="3" borderId="3" xfId="0" applyFill="1" applyBorder="1"/>
    <xf numFmtId="0" fontId="0" fillId="0" borderId="4" xfId="0" applyBorder="1"/>
    <xf numFmtId="0" fontId="0" fillId="0" borderId="3" xfId="0" applyBorder="1"/>
    <xf numFmtId="0" fontId="0" fillId="3" borderId="2" xfId="0" applyFill="1" applyBorder="1"/>
    <xf numFmtId="0" fontId="0" fillId="3" borderId="1" xfId="0" applyFill="1" applyBorder="1"/>
    <xf numFmtId="164" fontId="0" fillId="0" borderId="0" xfId="0" applyNumberFormat="1"/>
    <xf numFmtId="0" fontId="1" fillId="2" borderId="5" xfId="0" applyFont="1" applyFill="1" applyBorder="1"/>
    <xf numFmtId="14" fontId="1" fillId="2" borderId="6" xfId="0" applyNumberFormat="1" applyFont="1" applyFill="1" applyBorder="1"/>
    <xf numFmtId="14" fontId="0" fillId="3" borderId="6" xfId="0" applyNumberFormat="1" applyFill="1" applyBorder="1"/>
    <xf numFmtId="14" fontId="0" fillId="0" borderId="6" xfId="0" applyNumberFormat="1" applyBorder="1"/>
    <xf numFmtId="14" fontId="0" fillId="3" borderId="7" xfId="0" applyNumberFormat="1" applyFill="1" applyBorder="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28">
    <dxf>
      <numFmt numFmtId="164" formatCode="#0,\k"/>
    </dxf>
    <dxf>
      <numFmt numFmtId="164" formatCode="#0,\k"/>
    </dxf>
    <dxf>
      <numFmt numFmtId="164" formatCode="#0,\k"/>
    </dxf>
    <dxf>
      <numFmt numFmtId="164" formatCode="#0,\k"/>
    </dxf>
    <dxf>
      <numFmt numFmtId="164" formatCode="#0,\k"/>
    </dxf>
    <dxf>
      <numFmt numFmtId="14" formatCode="0.00%"/>
    </dxf>
    <dxf>
      <numFmt numFmtId="164" formatCode="#0,\k"/>
    </dxf>
    <dxf>
      <fill>
        <patternFill patternType="solid">
          <fgColor theme="7" tint="0.79998168889431442"/>
          <bgColor theme="7" tint="0.79998168889431442"/>
        </patternFill>
      </fill>
      <border diagonalUp="0" diagonalDown="0">
        <left style="thin">
          <color indexed="64"/>
        </left>
        <right style="thin">
          <color indexed="64"/>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numFmt numFmtId="19" formatCode="dd/mm/yyyy"/>
      <fill>
        <patternFill patternType="solid">
          <fgColor theme="7" tint="0.79998168889431442"/>
          <bgColor theme="7" tint="0.79998168889431442"/>
        </patternFill>
      </fill>
      <border diagonalUp="0" diagonalDown="0">
        <left/>
        <right/>
        <top style="thin">
          <color indexed="64"/>
        </top>
        <bottom/>
        <vertical/>
        <horizontal/>
      </border>
    </dxf>
    <dxf>
      <border outline="0">
        <left style="thin">
          <color indexed="64"/>
        </left>
      </border>
    </dxf>
    <dxf>
      <font>
        <b/>
        <i val="0"/>
        <strike val="0"/>
        <condense val="0"/>
        <extend val="0"/>
        <outline val="0"/>
        <shadow val="0"/>
        <u val="none"/>
        <vertAlign val="baseline"/>
        <sz val="14"/>
        <color theme="0"/>
        <name val="Segoe UI Semibold"/>
        <family val="2"/>
        <scheme val="none"/>
      </font>
      <fill>
        <patternFill patternType="solid">
          <fgColor theme="7"/>
          <bgColor theme="7"/>
        </patternFill>
      </fill>
      <border diagonalUp="0" diagonalDown="0" outline="0">
        <left style="thin">
          <color indexed="64"/>
        </left>
        <right style="thin">
          <color indexed="64"/>
        </right>
        <top/>
        <bottom/>
      </border>
    </dxf>
    <dxf>
      <numFmt numFmtId="164" formatCode="#0,\k"/>
    </dxf>
    <dxf>
      <numFmt numFmtId="14" formatCode="0.00%"/>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s>
  <tableStyles count="0" defaultTableStyle="TableStyleMedium2" defaultPivotStyle="PivotStyleLight16"/>
  <colors>
    <mruColors>
      <color rgb="FF7C3F26"/>
      <color rgb="FFA856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[dashbord.xlsx]Region wise sales!PivotTable1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 wise sales'!$A$4:$A$8</c:f>
              <c:strCache>
                <c:ptCount val="4"/>
                <c:pt idx="0">
                  <c:v>East</c:v>
                </c:pt>
                <c:pt idx="1">
                  <c:v>North</c:v>
                </c:pt>
                <c:pt idx="2">
                  <c:v>South</c:v>
                </c:pt>
                <c:pt idx="3">
                  <c:v>West</c:v>
                </c:pt>
              </c:strCache>
            </c:strRef>
          </c:cat>
          <c:val>
            <c:numRef>
              <c:f>'Region wise sales'!$B$4:$B$8</c:f>
              <c:numCache>
                <c:formatCode>#0,\k</c:formatCode>
                <c:ptCount val="4"/>
                <c:pt idx="0">
                  <c:v>164125</c:v>
                </c:pt>
                <c:pt idx="1">
                  <c:v>197185</c:v>
                </c:pt>
                <c:pt idx="2">
                  <c:v>214885</c:v>
                </c:pt>
                <c:pt idx="3">
                  <c:v>210382</c:v>
                </c:pt>
              </c:numCache>
            </c:numRef>
          </c:val>
          <c:extLst>
            <c:ext xmlns:c16="http://schemas.microsoft.com/office/drawing/2014/chart" uri="{C3380CC4-5D6E-409C-BE32-E72D297353CC}">
              <c16:uniqueId val="{00000000-78FD-4E71-8B8C-91FE99BEA351}"/>
            </c:ext>
          </c:extLst>
        </c:ser>
        <c:dLbls>
          <c:dLblPos val="outEnd"/>
          <c:showLegendKey val="0"/>
          <c:showVal val="1"/>
          <c:showCatName val="0"/>
          <c:showSerName val="0"/>
          <c:showPercent val="0"/>
          <c:showBubbleSize val="0"/>
        </c:dLbls>
        <c:gapWidth val="100"/>
        <c:overlap val="-24"/>
        <c:axId val="1826313456"/>
        <c:axId val="1826314416"/>
      </c:barChart>
      <c:catAx>
        <c:axId val="18263134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6314416"/>
        <c:crosses val="autoZero"/>
        <c:auto val="1"/>
        <c:lblAlgn val="ctr"/>
        <c:lblOffset val="100"/>
        <c:noMultiLvlLbl val="0"/>
      </c:catAx>
      <c:valAx>
        <c:axId val="1826314416"/>
        <c:scaling>
          <c:orientation val="minMax"/>
        </c:scaling>
        <c:delete val="1"/>
        <c:axPos val="l"/>
        <c:numFmt formatCode="#0,\k" sourceLinked="1"/>
        <c:majorTickMark val="none"/>
        <c:minorTickMark val="none"/>
        <c:tickLblPos val="nextTo"/>
        <c:crossAx val="18263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[dashbord.xlsx]Departmentwise sales!PivotTable2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Deparment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2.1919826692825807E-2"/>
              <c:y val="-8.951456916030620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26930072794043125"/>
              <c:y val="-1.72143402231356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3.4445441945869237E-2"/>
              <c:y val="-5.852875675866172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'Departmentwise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2F83-4EEC-A190-284059B2A8B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83-4EEC-A190-284059B2A8B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F83-4EEC-A190-284059B2A8B0}"/>
              </c:ext>
            </c:extLst>
          </c:dPt>
          <c:dLbls>
            <c:dLbl>
              <c:idx val="0"/>
              <c:layout>
                <c:manualLayout>
                  <c:x val="-3.4445441945869237E-2"/>
                  <c:y val="-5.852875675866172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F83-4EEC-A190-284059B2A8B0}"/>
                </c:ext>
              </c:extLst>
            </c:dLbl>
            <c:dLbl>
              <c:idx val="1"/>
              <c:layout>
                <c:manualLayout>
                  <c:x val="0.26930072794043125"/>
                  <c:y val="-1.721434022313567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83-4EEC-A190-284059B2A8B0}"/>
                </c:ext>
              </c:extLst>
            </c:dLbl>
            <c:dLbl>
              <c:idx val="2"/>
              <c:layout>
                <c:manualLayout>
                  <c:x val="2.1919826692825807E-2"/>
                  <c:y val="-8.951456916030620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F83-4EEC-A190-284059B2A8B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'Departmentwise sales'!$A$2:$A$5</c:f>
              <c:strCache>
                <c:ptCount val="3"/>
                <c:pt idx="0">
                  <c:v>Marketing</c:v>
                </c:pt>
                <c:pt idx="1">
                  <c:v>Operations</c:v>
                </c:pt>
                <c:pt idx="2">
                  <c:v>Sales</c:v>
                </c:pt>
              </c:strCache>
            </c:strRef>
          </c:cat>
          <c:val>
            <c:numRef>
              <c:f>'Departmentwise sales'!$B$2:$B$5</c:f>
              <c:numCache>
                <c:formatCode>#0,\k</c:formatCode>
                <c:ptCount val="3"/>
                <c:pt idx="0">
                  <c:v>272049</c:v>
                </c:pt>
                <c:pt idx="1">
                  <c:v>271189</c:v>
                </c:pt>
                <c:pt idx="2">
                  <c:v>243339</c:v>
                </c:pt>
              </c:numCache>
            </c:numRef>
          </c:val>
          <c:extLst>
            <c:ext xmlns:c16="http://schemas.microsoft.com/office/drawing/2014/chart" uri="{C3380CC4-5D6E-409C-BE32-E72D297353CC}">
              <c16:uniqueId val="{00000000-2F83-4EEC-A190-284059B2A8B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[dashbord.xlsx]Top 5 Product Wise Sales!PivotTable3</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Product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 Wise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Product Wise Sales'!$A$2:$A$7</c:f>
              <c:strCache>
                <c:ptCount val="5"/>
                <c:pt idx="0">
                  <c:v>Mobiles</c:v>
                </c:pt>
                <c:pt idx="1">
                  <c:v>Appliances</c:v>
                </c:pt>
                <c:pt idx="2">
                  <c:v>Machines</c:v>
                </c:pt>
                <c:pt idx="3">
                  <c:v>Toys</c:v>
                </c:pt>
                <c:pt idx="4">
                  <c:v>Furnitures</c:v>
                </c:pt>
              </c:strCache>
            </c:strRef>
          </c:cat>
          <c:val>
            <c:numRef>
              <c:f>'Top 5 Product Wise Sales'!$B$2:$B$7</c:f>
              <c:numCache>
                <c:formatCode>#0,\k</c:formatCode>
                <c:ptCount val="5"/>
                <c:pt idx="0">
                  <c:v>132763</c:v>
                </c:pt>
                <c:pt idx="1">
                  <c:v>135232</c:v>
                </c:pt>
                <c:pt idx="2">
                  <c:v>140754</c:v>
                </c:pt>
                <c:pt idx="3">
                  <c:v>141434</c:v>
                </c:pt>
                <c:pt idx="4">
                  <c:v>142021</c:v>
                </c:pt>
              </c:numCache>
            </c:numRef>
          </c:val>
          <c:extLst>
            <c:ext xmlns:c16="http://schemas.microsoft.com/office/drawing/2014/chart" uri="{C3380CC4-5D6E-409C-BE32-E72D297353CC}">
              <c16:uniqueId val="{00000000-4B13-4B1C-963C-6996F4DBE486}"/>
            </c:ext>
          </c:extLst>
        </c:ser>
        <c:dLbls>
          <c:dLblPos val="outEnd"/>
          <c:showLegendKey val="0"/>
          <c:showVal val="1"/>
          <c:showCatName val="0"/>
          <c:showSerName val="0"/>
          <c:showPercent val="0"/>
          <c:showBubbleSize val="0"/>
        </c:dLbls>
        <c:gapWidth val="65"/>
        <c:axId val="1913358592"/>
        <c:axId val="1913342272"/>
      </c:barChart>
      <c:catAx>
        <c:axId val="19133585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3342272"/>
        <c:crosses val="autoZero"/>
        <c:auto val="1"/>
        <c:lblAlgn val="ctr"/>
        <c:lblOffset val="100"/>
        <c:noMultiLvlLbl val="0"/>
      </c:catAx>
      <c:valAx>
        <c:axId val="1913342272"/>
        <c:scaling>
          <c:orientation val="minMax"/>
        </c:scaling>
        <c:delete val="1"/>
        <c:axPos val="b"/>
        <c:numFmt formatCode="#0,\k" sourceLinked="1"/>
        <c:majorTickMark val="out"/>
        <c:minorTickMark val="none"/>
        <c:tickLblPos val="nextTo"/>
        <c:crossAx val="191335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[dashbord.xlsx]onthWise sales!PivotTable4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'onthWise sales'!$B$1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'onthWise 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'onthWise sales'!$B$2:$B$14</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227B-4B07-9744-02C68DA50734}"/>
            </c:ext>
          </c:extLst>
        </c:ser>
        <c:dLbls>
          <c:dLblPos val="ctr"/>
          <c:showLegendKey val="0"/>
          <c:showVal val="1"/>
          <c:showCatName val="0"/>
          <c:showSerName val="0"/>
          <c:showPercent val="0"/>
          <c:showBubbleSize val="0"/>
        </c:dLbls>
        <c:marker val="1"/>
        <c:smooth val="0"/>
        <c:axId val="1913391712"/>
        <c:axId val="1913378752"/>
      </c:lineChart>
      <c:catAx>
        <c:axId val="19133917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3378752"/>
        <c:crosses val="autoZero"/>
        <c:auto val="1"/>
        <c:lblAlgn val="ctr"/>
        <c:lblOffset val="100"/>
        <c:noMultiLvlLbl val="0"/>
      </c:catAx>
      <c:valAx>
        <c:axId val="19133787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191339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[dashbord.xlsx]linechart of monthwise sales!PivotTable6</c:name>
    <c:fmtId val="1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 of monthwise sales'!$B$1</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'linechart of monthwise 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'linechart of monthwise sales'!$B$2:$B$14</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8924-41C7-B811-31131AF87B7B}"/>
            </c:ext>
          </c:extLst>
        </c:ser>
        <c:ser>
          <c:idx val="1"/>
          <c:order val="1"/>
          <c:tx>
            <c:strRef>
              <c:f>'linechart of monthwise sales'!$C$1</c:f>
              <c:strCache>
                <c:ptCount val="1"/>
                <c:pt idx="0">
                  <c:v>Sum of Sales2</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'linechart of monthwise 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'linechart of monthwise sales'!$C$2:$C$14</c:f>
              <c:numCache>
                <c:formatCode>0.00%</c:formatCode>
                <c:ptCount val="12"/>
                <c:pt idx="0">
                  <c:v>0.10581545099844007</c:v>
                </c:pt>
                <c:pt idx="1">
                  <c:v>7.62786097228879E-2</c:v>
                </c:pt>
                <c:pt idx="2">
                  <c:v>8.2515761330422835E-2</c:v>
                </c:pt>
                <c:pt idx="3">
                  <c:v>9.0100524169915971E-2</c:v>
                </c:pt>
                <c:pt idx="4">
                  <c:v>6.7817899582621924E-2</c:v>
                </c:pt>
                <c:pt idx="5">
                  <c:v>7.0393616899553382E-2</c:v>
                </c:pt>
                <c:pt idx="6">
                  <c:v>8.7838825696657796E-2</c:v>
                </c:pt>
                <c:pt idx="7">
                  <c:v>8.4460898297305922E-2</c:v>
                </c:pt>
                <c:pt idx="8">
                  <c:v>8.2442024112070397E-2</c:v>
                </c:pt>
                <c:pt idx="9">
                  <c:v>8.78070424128852E-2</c:v>
                </c:pt>
                <c:pt idx="10">
                  <c:v>7.6231570462904463E-2</c:v>
                </c:pt>
                <c:pt idx="11">
                  <c:v>8.8297776314334137E-2</c:v>
                </c:pt>
              </c:numCache>
            </c:numRef>
          </c:val>
          <c:smooth val="0"/>
          <c:extLst>
            <c:ext xmlns:c16="http://schemas.microsoft.com/office/drawing/2014/chart" uri="{C3380CC4-5D6E-409C-BE32-E72D297353CC}">
              <c16:uniqueId val="{00000001-8924-41C7-B811-31131AF87B7B}"/>
            </c:ext>
          </c:extLst>
        </c:ser>
        <c:dLbls>
          <c:dLblPos val="t"/>
          <c:showLegendKey val="0"/>
          <c:showVal val="1"/>
          <c:showCatName val="0"/>
          <c:showSerName val="0"/>
          <c:showPercent val="0"/>
          <c:showBubbleSize val="0"/>
        </c:dLbls>
        <c:smooth val="0"/>
        <c:axId val="1913363392"/>
        <c:axId val="1913362432"/>
      </c:lineChart>
      <c:catAx>
        <c:axId val="191336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362432"/>
        <c:crosses val="autoZero"/>
        <c:auto val="1"/>
        <c:lblAlgn val="ctr"/>
        <c:lblOffset val="100"/>
        <c:noMultiLvlLbl val="0"/>
      </c:catAx>
      <c:valAx>
        <c:axId val="1913362432"/>
        <c:scaling>
          <c:orientation val="minMax"/>
        </c:scaling>
        <c:delete val="1"/>
        <c:axPos val="l"/>
        <c:majorGridlines>
          <c:spPr>
            <a:ln w="9525" cap="flat" cmpd="sng" algn="ctr">
              <a:solidFill>
                <a:schemeClr val="tx1">
                  <a:lumMod val="15000"/>
                  <a:lumOff val="85000"/>
                </a:schemeClr>
              </a:solidFill>
              <a:round/>
            </a:ln>
            <a:effectLst/>
          </c:spPr>
        </c:majorGridlines>
        <c:numFmt formatCode="#0,\k" sourceLinked="1"/>
        <c:majorTickMark val="out"/>
        <c:minorTickMark val="none"/>
        <c:tickLblPos val="nextTo"/>
        <c:crossAx val="191336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[dashbord.xlsx]Region wise sales!PivotTable1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wise sales'!$A$4:$A$8</c:f>
              <c:strCache>
                <c:ptCount val="4"/>
                <c:pt idx="0">
                  <c:v>East</c:v>
                </c:pt>
                <c:pt idx="1">
                  <c:v>North</c:v>
                </c:pt>
                <c:pt idx="2">
                  <c:v>South</c:v>
                </c:pt>
                <c:pt idx="3">
                  <c:v>West</c:v>
                </c:pt>
              </c:strCache>
            </c:strRef>
          </c:cat>
          <c:val>
            <c:numRef>
              <c:f>'Region wise sales'!$B$4:$B$8</c:f>
              <c:numCache>
                <c:formatCode>#0,\k</c:formatCode>
                <c:ptCount val="4"/>
                <c:pt idx="0">
                  <c:v>164125</c:v>
                </c:pt>
                <c:pt idx="1">
                  <c:v>197185</c:v>
                </c:pt>
                <c:pt idx="2">
                  <c:v>214885</c:v>
                </c:pt>
                <c:pt idx="3">
                  <c:v>210382</c:v>
                </c:pt>
              </c:numCache>
            </c:numRef>
          </c:val>
          <c:extLst>
            <c:ext xmlns:c16="http://schemas.microsoft.com/office/drawing/2014/chart" uri="{C3380CC4-5D6E-409C-BE32-E72D297353CC}">
              <c16:uniqueId val="{00000000-90E5-4E8B-BAF6-257D26F3CFA8}"/>
            </c:ext>
          </c:extLst>
        </c:ser>
        <c:dLbls>
          <c:dLblPos val="inEnd"/>
          <c:showLegendKey val="0"/>
          <c:showVal val="1"/>
          <c:showCatName val="0"/>
          <c:showSerName val="0"/>
          <c:showPercent val="0"/>
          <c:showBubbleSize val="0"/>
        </c:dLbls>
        <c:gapWidth val="65"/>
        <c:axId val="1826313456"/>
        <c:axId val="1826314416"/>
      </c:barChart>
      <c:catAx>
        <c:axId val="1826313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26314416"/>
        <c:crosses val="autoZero"/>
        <c:auto val="1"/>
        <c:lblAlgn val="ctr"/>
        <c:lblOffset val="100"/>
        <c:noMultiLvlLbl val="0"/>
      </c:catAx>
      <c:valAx>
        <c:axId val="1826314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18263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[dashbord.xlsx]Departmentwise sales!PivotTable2</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Deparment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2.1919826692825807E-2"/>
              <c:y val="-8.9514569160306201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2"/>
        <c:dLbl>
          <c:idx val="0"/>
          <c:layout>
            <c:manualLayout>
              <c:x val="0.26930072794043125"/>
              <c:y val="-1.7214340223135675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3"/>
        <c:dLbl>
          <c:idx val="0"/>
          <c:layout>
            <c:manualLayout>
              <c:x val="-3.4445441945869237E-2"/>
              <c:y val="-5.8528756758661725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5"/>
        <c:dLbl>
          <c:idx val="0"/>
          <c:layout>
            <c:manualLayout>
              <c:x val="-3.4445441945869237E-2"/>
              <c:y val="-5.8528756758661725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6"/>
        <c:dLbl>
          <c:idx val="0"/>
          <c:layout>
            <c:manualLayout>
              <c:x val="0.26930072794043125"/>
              <c:y val="-1.7214340223135675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7"/>
        <c:dLbl>
          <c:idx val="0"/>
          <c:layout>
            <c:manualLayout>
              <c:x val="2.1919826692825807E-2"/>
              <c:y val="-8.9514569160306201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65000"/>
                <a:lumOff val="3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31487338836249118"/>
              <c:y val="-2.5532656334466629E-2"/>
            </c:manualLayout>
          </c:layout>
          <c:spPr>
            <a:solidFill>
              <a:schemeClr val="tx1">
                <a:lumMod val="65000"/>
                <a:lumOff val="3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8610832609798648"/>
                  <c:h val="0.17370739531164137"/>
                </c:manualLayout>
              </c15:layout>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'Departmentwise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51E-4744-B636-42ECF625EDE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51E-4744-B636-42ECF625EDE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51E-4744-B636-42ECF625EDEC}"/>
              </c:ext>
            </c:extLst>
          </c:dPt>
          <c:dLbls>
            <c:dLbl>
              <c:idx val="1"/>
              <c:layout>
                <c:manualLayout>
                  <c:x val="0.31487338836249118"/>
                  <c:y val="-2.5532656334466629E-2"/>
                </c:manualLayout>
              </c:layout>
              <c:spPr>
                <a:solidFill>
                  <a:schemeClr val="tx1">
                    <a:lumMod val="65000"/>
                    <a:lumOff val="3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8610832609798648"/>
                      <c:h val="0.17370739531164137"/>
                    </c:manualLayout>
                  </c15:layout>
                </c:ext>
                <c:ext xmlns:c16="http://schemas.microsoft.com/office/drawing/2014/chart" uri="{C3380CC4-5D6E-409C-BE32-E72D297353CC}">
                  <c16:uniqueId val="{00000003-851E-4744-B636-42ECF625EDEC}"/>
                </c:ext>
              </c:extLst>
            </c:dLbl>
            <c:spPr>
              <a:solidFill>
                <a:schemeClr val="tx1">
                  <a:lumMod val="65000"/>
                  <a:lumOff val="3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'Departmentwise sales'!$A$2:$A$5</c:f>
              <c:strCache>
                <c:ptCount val="3"/>
                <c:pt idx="0">
                  <c:v>Marketing</c:v>
                </c:pt>
                <c:pt idx="1">
                  <c:v>Operations</c:v>
                </c:pt>
                <c:pt idx="2">
                  <c:v>Sales</c:v>
                </c:pt>
              </c:strCache>
            </c:strRef>
          </c:cat>
          <c:val>
            <c:numRef>
              <c:f>'Departmentwise sales'!$B$2:$B$5</c:f>
              <c:numCache>
                <c:formatCode>#0,\k</c:formatCode>
                <c:ptCount val="3"/>
                <c:pt idx="0">
                  <c:v>272049</c:v>
                </c:pt>
                <c:pt idx="1">
                  <c:v>271189</c:v>
                </c:pt>
                <c:pt idx="2">
                  <c:v>243339</c:v>
                </c:pt>
              </c:numCache>
            </c:numRef>
          </c:val>
          <c:extLst>
            <c:ext xmlns:c16="http://schemas.microsoft.com/office/drawing/2014/chart" uri="{C3380CC4-5D6E-409C-BE32-E72D297353CC}">
              <c16:uniqueId val="{00000006-851E-4744-B636-42ECF625EDEC}"/>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[dashbord.xlsx]Top 5 Product Wise Sales!PivotTable3</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Product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 Wise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Product Wise Sales'!$A$2:$A$7</c:f>
              <c:strCache>
                <c:ptCount val="5"/>
                <c:pt idx="0">
                  <c:v>Mobiles</c:v>
                </c:pt>
                <c:pt idx="1">
                  <c:v>Appliances</c:v>
                </c:pt>
                <c:pt idx="2">
                  <c:v>Machines</c:v>
                </c:pt>
                <c:pt idx="3">
                  <c:v>Toys</c:v>
                </c:pt>
                <c:pt idx="4">
                  <c:v>Furnitures</c:v>
                </c:pt>
              </c:strCache>
            </c:strRef>
          </c:cat>
          <c:val>
            <c:numRef>
              <c:f>'Top 5 Product Wise Sales'!$B$2:$B$7</c:f>
              <c:numCache>
                <c:formatCode>#0,\k</c:formatCode>
                <c:ptCount val="5"/>
                <c:pt idx="0">
                  <c:v>132763</c:v>
                </c:pt>
                <c:pt idx="1">
                  <c:v>135232</c:v>
                </c:pt>
                <c:pt idx="2">
                  <c:v>140754</c:v>
                </c:pt>
                <c:pt idx="3">
                  <c:v>141434</c:v>
                </c:pt>
                <c:pt idx="4">
                  <c:v>142021</c:v>
                </c:pt>
              </c:numCache>
            </c:numRef>
          </c:val>
          <c:extLst>
            <c:ext xmlns:c16="http://schemas.microsoft.com/office/drawing/2014/chart" uri="{C3380CC4-5D6E-409C-BE32-E72D297353CC}">
              <c16:uniqueId val="{00000000-0090-44F1-B122-49516F548749}"/>
            </c:ext>
          </c:extLst>
        </c:ser>
        <c:dLbls>
          <c:dLblPos val="inEnd"/>
          <c:showLegendKey val="0"/>
          <c:showVal val="1"/>
          <c:showCatName val="0"/>
          <c:showSerName val="0"/>
          <c:showPercent val="0"/>
          <c:showBubbleSize val="0"/>
        </c:dLbls>
        <c:gapWidth val="65"/>
        <c:axId val="1913358592"/>
        <c:axId val="1913342272"/>
      </c:barChart>
      <c:catAx>
        <c:axId val="19133585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3342272"/>
        <c:crosses val="autoZero"/>
        <c:auto val="1"/>
        <c:lblAlgn val="ctr"/>
        <c:lblOffset val="100"/>
        <c:noMultiLvlLbl val="0"/>
      </c:catAx>
      <c:valAx>
        <c:axId val="19133422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335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[dashbord.xlsx]onthWise sales!PivotTable4</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'onthWise sales'!$B$1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'onthWise 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'onthWise sales'!$B$2:$B$14</c:f>
              <c:numCache>
                <c:formatCode>#0,\k</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Cache>
            </c:numRef>
          </c:val>
          <c:smooth val="0"/>
          <c:extLst>
            <c:ext xmlns:c16="http://schemas.microsoft.com/office/drawing/2014/chart" uri="{C3380CC4-5D6E-409C-BE32-E72D297353CC}">
              <c16:uniqueId val="{00000000-D254-4AB7-B2B1-3D0A5D0D9BC4}"/>
            </c:ext>
          </c:extLst>
        </c:ser>
        <c:dLbls>
          <c:dLblPos val="ctr"/>
          <c:showLegendKey val="0"/>
          <c:showVal val="1"/>
          <c:showCatName val="0"/>
          <c:showSerName val="0"/>
          <c:showPercent val="0"/>
          <c:showBubbleSize val="0"/>
        </c:dLbls>
        <c:marker val="1"/>
        <c:smooth val="0"/>
        <c:axId val="1913391712"/>
        <c:axId val="1913378752"/>
      </c:lineChart>
      <c:catAx>
        <c:axId val="19133917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3378752"/>
        <c:crosses val="autoZero"/>
        <c:auto val="1"/>
        <c:lblAlgn val="ctr"/>
        <c:lblOffset val="100"/>
        <c:noMultiLvlLbl val="0"/>
      </c:catAx>
      <c:valAx>
        <c:axId val="19133787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191339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image" Target="../media/image7.svg"/><Relationship Id="rId7" Type="http://schemas.openxmlformats.org/officeDocument/2006/relationships/chart" Target="../charts/chart9.xml"/><Relationship Id="rId2" Type="http://schemas.openxmlformats.org/officeDocument/2006/relationships/image" Target="../media/image6.png"/><Relationship Id="rId1" Type="http://schemas.openxmlformats.org/officeDocument/2006/relationships/hyperlink" Target="https://www.youtube.com/" TargetMode="Externa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452438</xdr:colOff>
      <xdr:row>10</xdr:row>
      <xdr:rowOff>119063</xdr:rowOff>
    </xdr:from>
    <xdr:to>
      <xdr:col>23</xdr:col>
      <xdr:colOff>762000</xdr:colOff>
      <xdr:row>59</xdr:row>
      <xdr:rowOff>23812</xdr:rowOff>
    </xdr:to>
    <xdr:sp macro="" textlink="">
      <xdr:nvSpPr>
        <xdr:cNvPr id="2" name="Rectangle 1">
          <a:extLst>
            <a:ext uri="{FF2B5EF4-FFF2-40B4-BE49-F238E27FC236}">
              <a16:creationId xmlns:a16="http://schemas.microsoft.com/office/drawing/2014/main" id="{1D24FC1F-735C-1E45-8E44-E74F68E4C28C}"/>
            </a:ext>
          </a:extLst>
        </xdr:cNvPr>
        <xdr:cNvSpPr/>
      </xdr:nvSpPr>
      <xdr:spPr>
        <a:xfrm>
          <a:off x="1357313" y="2738438"/>
          <a:ext cx="20216812" cy="1273968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0</xdr:colOff>
      <xdr:row>2</xdr:row>
      <xdr:rowOff>142875</xdr:rowOff>
    </xdr:from>
    <xdr:to>
      <xdr:col>25</xdr:col>
      <xdr:colOff>119063</xdr:colOff>
      <xdr:row>56</xdr:row>
      <xdr:rowOff>47625</xdr:rowOff>
    </xdr:to>
    <xdr:sp macro="" textlink="">
      <xdr:nvSpPr>
        <xdr:cNvPr id="5" name="Rectangle 4">
          <a:extLst>
            <a:ext uri="{FF2B5EF4-FFF2-40B4-BE49-F238E27FC236}">
              <a16:creationId xmlns:a16="http://schemas.microsoft.com/office/drawing/2014/main" id="{EA32C8DC-AD73-6684-50E4-549569647A44}"/>
            </a:ext>
          </a:extLst>
        </xdr:cNvPr>
        <xdr:cNvSpPr/>
      </xdr:nvSpPr>
      <xdr:spPr>
        <a:xfrm>
          <a:off x="1809750" y="666750"/>
          <a:ext cx="20931188" cy="14049375"/>
        </a:xfrm>
        <a:prstGeom prst="rect">
          <a:avLst/>
        </a:prstGeom>
        <a:solidFill>
          <a:schemeClr val="bg1"/>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428625</xdr:colOff>
      <xdr:row>4</xdr:row>
      <xdr:rowOff>0</xdr:rowOff>
    </xdr:from>
    <xdr:to>
      <xdr:col>7</xdr:col>
      <xdr:colOff>714375</xdr:colOff>
      <xdr:row>12</xdr:row>
      <xdr:rowOff>190500</xdr:rowOff>
    </xdr:to>
    <xdr:sp macro="" textlink="">
      <xdr:nvSpPr>
        <xdr:cNvPr id="7" name="Rectangle 6">
          <a:extLst>
            <a:ext uri="{FF2B5EF4-FFF2-40B4-BE49-F238E27FC236}">
              <a16:creationId xmlns:a16="http://schemas.microsoft.com/office/drawing/2014/main" id="{6FA71089-3E6F-9A96-E117-D961E902310F}"/>
            </a:ext>
          </a:extLst>
        </xdr:cNvPr>
        <xdr:cNvSpPr/>
      </xdr:nvSpPr>
      <xdr:spPr>
        <a:xfrm>
          <a:off x="2238375" y="1047750"/>
          <a:ext cx="4810125" cy="2286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485770</xdr:colOff>
      <xdr:row>4</xdr:row>
      <xdr:rowOff>9524</xdr:rowOff>
    </xdr:from>
    <xdr:to>
      <xdr:col>18</xdr:col>
      <xdr:colOff>771520</xdr:colOff>
      <xdr:row>12</xdr:row>
      <xdr:rowOff>200024</xdr:rowOff>
    </xdr:to>
    <xdr:sp macro="" textlink="">
      <xdr:nvSpPr>
        <xdr:cNvPr id="12" name="Rectangle 11">
          <a:extLst>
            <a:ext uri="{FF2B5EF4-FFF2-40B4-BE49-F238E27FC236}">
              <a16:creationId xmlns:a16="http://schemas.microsoft.com/office/drawing/2014/main" id="{38E71CD1-0C48-41B2-B47E-7A1F57C4677D}"/>
            </a:ext>
          </a:extLst>
        </xdr:cNvPr>
        <xdr:cNvSpPr/>
      </xdr:nvSpPr>
      <xdr:spPr>
        <a:xfrm>
          <a:off x="12249145" y="1057274"/>
          <a:ext cx="4810125" cy="2286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900106</xdr:colOff>
      <xdr:row>3</xdr:row>
      <xdr:rowOff>257172</xdr:rowOff>
    </xdr:from>
    <xdr:to>
      <xdr:col>13</xdr:col>
      <xdr:colOff>280981</xdr:colOff>
      <xdr:row>12</xdr:row>
      <xdr:rowOff>185735</xdr:rowOff>
    </xdr:to>
    <xdr:sp macro="" textlink="">
      <xdr:nvSpPr>
        <xdr:cNvPr id="13" name="Rectangle 12">
          <a:extLst>
            <a:ext uri="{FF2B5EF4-FFF2-40B4-BE49-F238E27FC236}">
              <a16:creationId xmlns:a16="http://schemas.microsoft.com/office/drawing/2014/main" id="{2C792D3D-2B22-40A5-9601-E519126EFA39}"/>
            </a:ext>
          </a:extLst>
        </xdr:cNvPr>
        <xdr:cNvSpPr/>
      </xdr:nvSpPr>
      <xdr:spPr>
        <a:xfrm>
          <a:off x="7234231" y="1042985"/>
          <a:ext cx="4810125" cy="2286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64034</xdr:colOff>
      <xdr:row>2</xdr:row>
      <xdr:rowOff>183935</xdr:rowOff>
    </xdr:from>
    <xdr:to>
      <xdr:col>23</xdr:col>
      <xdr:colOff>598615</xdr:colOff>
      <xdr:row>55</xdr:row>
      <xdr:rowOff>16427</xdr:rowOff>
    </xdr:to>
    <xdr:sp macro="" textlink="">
      <xdr:nvSpPr>
        <xdr:cNvPr id="17" name="Rectangle: Rounded Corners 16">
          <a:extLst>
            <a:ext uri="{FF2B5EF4-FFF2-40B4-BE49-F238E27FC236}">
              <a16:creationId xmlns:a16="http://schemas.microsoft.com/office/drawing/2014/main" id="{E7A44C83-D930-2556-EF34-6EFE8A66F2F1}"/>
            </a:ext>
          </a:extLst>
        </xdr:cNvPr>
        <xdr:cNvSpPr/>
      </xdr:nvSpPr>
      <xdr:spPr>
        <a:xfrm>
          <a:off x="1903344" y="709452"/>
          <a:ext cx="19847340" cy="13758699"/>
        </a:xfrm>
        <a:custGeom>
          <a:avLst/>
          <a:gdLst>
            <a:gd name="csX0" fmla="*/ 0 w 20240625"/>
            <a:gd name="csY0" fmla="*/ 2258264 h 13549313"/>
            <a:gd name="csX1" fmla="*/ 2258264 w 20240625"/>
            <a:gd name="csY1" fmla="*/ 0 h 13549313"/>
            <a:gd name="csX2" fmla="*/ 17982361 w 20240625"/>
            <a:gd name="csY2" fmla="*/ 0 h 13549313"/>
            <a:gd name="csX3" fmla="*/ 20240625 w 20240625"/>
            <a:gd name="csY3" fmla="*/ 2258264 h 13549313"/>
            <a:gd name="csX4" fmla="*/ 20240625 w 20240625"/>
            <a:gd name="csY4" fmla="*/ 11291049 h 13549313"/>
            <a:gd name="csX5" fmla="*/ 17982361 w 20240625"/>
            <a:gd name="csY5" fmla="*/ 13549313 h 13549313"/>
            <a:gd name="csX6" fmla="*/ 2258264 w 20240625"/>
            <a:gd name="csY6" fmla="*/ 13549313 h 13549313"/>
            <a:gd name="csX7" fmla="*/ 0 w 20240625"/>
            <a:gd name="csY7" fmla="*/ 11291049 h 13549313"/>
            <a:gd name="csX8" fmla="*/ 0 w 20240625"/>
            <a:gd name="csY8" fmla="*/ 2258264 h 13549313"/>
            <a:gd name="csX0" fmla="*/ 0 w 20240625"/>
            <a:gd name="csY0" fmla="*/ 1097672 h 13555533"/>
            <a:gd name="csX1" fmla="*/ 2258264 w 20240625"/>
            <a:gd name="csY1" fmla="*/ 6220 h 13555533"/>
            <a:gd name="csX2" fmla="*/ 17982361 w 20240625"/>
            <a:gd name="csY2" fmla="*/ 6220 h 13555533"/>
            <a:gd name="csX3" fmla="*/ 20240625 w 20240625"/>
            <a:gd name="csY3" fmla="*/ 2264484 h 13555533"/>
            <a:gd name="csX4" fmla="*/ 20240625 w 20240625"/>
            <a:gd name="csY4" fmla="*/ 11297269 h 13555533"/>
            <a:gd name="csX5" fmla="*/ 17982361 w 20240625"/>
            <a:gd name="csY5" fmla="*/ 13555533 h 13555533"/>
            <a:gd name="csX6" fmla="*/ 2258264 w 20240625"/>
            <a:gd name="csY6" fmla="*/ 13555533 h 13555533"/>
            <a:gd name="csX7" fmla="*/ 0 w 20240625"/>
            <a:gd name="csY7" fmla="*/ 11297269 h 13555533"/>
            <a:gd name="csX8" fmla="*/ 0 w 20240625"/>
            <a:gd name="csY8" fmla="*/ 1097672 h 13555533"/>
            <a:gd name="csX0" fmla="*/ 31312 w 20271937"/>
            <a:gd name="csY0" fmla="*/ 1097672 h 13555533"/>
            <a:gd name="csX1" fmla="*/ 979888 w 20271937"/>
            <a:gd name="csY1" fmla="*/ 6220 h 13555533"/>
            <a:gd name="csX2" fmla="*/ 18013673 w 20271937"/>
            <a:gd name="csY2" fmla="*/ 6220 h 13555533"/>
            <a:gd name="csX3" fmla="*/ 20271937 w 20271937"/>
            <a:gd name="csY3" fmla="*/ 2264484 h 13555533"/>
            <a:gd name="csX4" fmla="*/ 20271937 w 20271937"/>
            <a:gd name="csY4" fmla="*/ 11297269 h 13555533"/>
            <a:gd name="csX5" fmla="*/ 18013673 w 20271937"/>
            <a:gd name="csY5" fmla="*/ 13555533 h 13555533"/>
            <a:gd name="csX6" fmla="*/ 2289576 w 20271937"/>
            <a:gd name="csY6" fmla="*/ 13555533 h 13555533"/>
            <a:gd name="csX7" fmla="*/ 31312 w 20271937"/>
            <a:gd name="csY7" fmla="*/ 11297269 h 13555533"/>
            <a:gd name="csX8" fmla="*/ 31312 w 20271937"/>
            <a:gd name="csY8" fmla="*/ 1097672 h 13555533"/>
            <a:gd name="csX0" fmla="*/ 25714 w 20290151"/>
            <a:gd name="csY0" fmla="*/ 1164086 h 13550510"/>
            <a:gd name="csX1" fmla="*/ 998102 w 20290151"/>
            <a:gd name="csY1" fmla="*/ 1197 h 13550510"/>
            <a:gd name="csX2" fmla="*/ 18031887 w 20290151"/>
            <a:gd name="csY2" fmla="*/ 1197 h 13550510"/>
            <a:gd name="csX3" fmla="*/ 20290151 w 20290151"/>
            <a:gd name="csY3" fmla="*/ 2259461 h 13550510"/>
            <a:gd name="csX4" fmla="*/ 20290151 w 20290151"/>
            <a:gd name="csY4" fmla="*/ 11292246 h 13550510"/>
            <a:gd name="csX5" fmla="*/ 18031887 w 20290151"/>
            <a:gd name="csY5" fmla="*/ 13550510 h 13550510"/>
            <a:gd name="csX6" fmla="*/ 2307790 w 20290151"/>
            <a:gd name="csY6" fmla="*/ 13550510 h 13550510"/>
            <a:gd name="csX7" fmla="*/ 49526 w 20290151"/>
            <a:gd name="csY7" fmla="*/ 11292246 h 13550510"/>
            <a:gd name="csX8" fmla="*/ 25714 w 20290151"/>
            <a:gd name="csY8" fmla="*/ 1164086 h 13550510"/>
            <a:gd name="csX0" fmla="*/ 25714 w 20290156"/>
            <a:gd name="csY0" fmla="*/ 1164086 h 13550510"/>
            <a:gd name="csX1" fmla="*/ 998102 w 20290156"/>
            <a:gd name="csY1" fmla="*/ 1197 h 13550510"/>
            <a:gd name="csX2" fmla="*/ 19055825 w 20290156"/>
            <a:gd name="csY2" fmla="*/ 48822 h 13550510"/>
            <a:gd name="csX3" fmla="*/ 20290151 w 20290156"/>
            <a:gd name="csY3" fmla="*/ 2259461 h 13550510"/>
            <a:gd name="csX4" fmla="*/ 20290151 w 20290156"/>
            <a:gd name="csY4" fmla="*/ 11292246 h 13550510"/>
            <a:gd name="csX5" fmla="*/ 18031887 w 20290156"/>
            <a:gd name="csY5" fmla="*/ 13550510 h 13550510"/>
            <a:gd name="csX6" fmla="*/ 2307790 w 20290156"/>
            <a:gd name="csY6" fmla="*/ 13550510 h 13550510"/>
            <a:gd name="csX7" fmla="*/ 49526 w 20290156"/>
            <a:gd name="csY7" fmla="*/ 11292246 h 13550510"/>
            <a:gd name="csX8" fmla="*/ 25714 w 20290156"/>
            <a:gd name="csY8" fmla="*/ 1164086 h 13550510"/>
            <a:gd name="csX0" fmla="*/ 25714 w 20337777"/>
            <a:gd name="csY0" fmla="*/ 1164086 h 13550510"/>
            <a:gd name="csX1" fmla="*/ 998102 w 20337777"/>
            <a:gd name="csY1" fmla="*/ 1197 h 13550510"/>
            <a:gd name="csX2" fmla="*/ 19055825 w 20337777"/>
            <a:gd name="csY2" fmla="*/ 48822 h 13550510"/>
            <a:gd name="csX3" fmla="*/ 20337777 w 20337777"/>
            <a:gd name="csY3" fmla="*/ 1306961 h 13550510"/>
            <a:gd name="csX4" fmla="*/ 20290151 w 20337777"/>
            <a:gd name="csY4" fmla="*/ 11292246 h 13550510"/>
            <a:gd name="csX5" fmla="*/ 18031887 w 20337777"/>
            <a:gd name="csY5" fmla="*/ 13550510 h 13550510"/>
            <a:gd name="csX6" fmla="*/ 2307790 w 20337777"/>
            <a:gd name="csY6" fmla="*/ 13550510 h 13550510"/>
            <a:gd name="csX7" fmla="*/ 49526 w 20337777"/>
            <a:gd name="csY7" fmla="*/ 11292246 h 13550510"/>
            <a:gd name="csX8" fmla="*/ 25714 w 20337777"/>
            <a:gd name="csY8" fmla="*/ 1164086 h 13550510"/>
            <a:gd name="csX0" fmla="*/ 25714 w 20337777"/>
            <a:gd name="csY0" fmla="*/ 1329577 h 13549313"/>
            <a:gd name="csX1" fmla="*/ 998102 w 20337777"/>
            <a:gd name="csY1" fmla="*/ 0 h 13549313"/>
            <a:gd name="csX2" fmla="*/ 19055825 w 20337777"/>
            <a:gd name="csY2" fmla="*/ 47625 h 13549313"/>
            <a:gd name="csX3" fmla="*/ 20337777 w 20337777"/>
            <a:gd name="csY3" fmla="*/ 1305764 h 13549313"/>
            <a:gd name="csX4" fmla="*/ 20290151 w 20337777"/>
            <a:gd name="csY4" fmla="*/ 11291049 h 13549313"/>
            <a:gd name="csX5" fmla="*/ 18031887 w 20337777"/>
            <a:gd name="csY5" fmla="*/ 13549313 h 13549313"/>
            <a:gd name="csX6" fmla="*/ 2307790 w 20337777"/>
            <a:gd name="csY6" fmla="*/ 13549313 h 13549313"/>
            <a:gd name="csX7" fmla="*/ 49526 w 20337777"/>
            <a:gd name="csY7" fmla="*/ 11291049 h 13549313"/>
            <a:gd name="csX8" fmla="*/ 25714 w 20337777"/>
            <a:gd name="csY8" fmla="*/ 1329577 h 13549313"/>
            <a:gd name="csX0" fmla="*/ 474 w 20312537"/>
            <a:gd name="csY0" fmla="*/ 1377202 h 13596938"/>
            <a:gd name="csX1" fmla="*/ 1187175 w 20312537"/>
            <a:gd name="csY1" fmla="*/ 0 h 13596938"/>
            <a:gd name="csX2" fmla="*/ 19030585 w 20312537"/>
            <a:gd name="csY2" fmla="*/ 95250 h 13596938"/>
            <a:gd name="csX3" fmla="*/ 20312537 w 20312537"/>
            <a:gd name="csY3" fmla="*/ 1353389 h 13596938"/>
            <a:gd name="csX4" fmla="*/ 20264911 w 20312537"/>
            <a:gd name="csY4" fmla="*/ 11338674 h 13596938"/>
            <a:gd name="csX5" fmla="*/ 18006647 w 20312537"/>
            <a:gd name="csY5" fmla="*/ 13596938 h 13596938"/>
            <a:gd name="csX6" fmla="*/ 2282550 w 20312537"/>
            <a:gd name="csY6" fmla="*/ 13596938 h 13596938"/>
            <a:gd name="csX7" fmla="*/ 24286 w 20312537"/>
            <a:gd name="csY7" fmla="*/ 11338674 h 13596938"/>
            <a:gd name="csX8" fmla="*/ 474 w 20312537"/>
            <a:gd name="csY8" fmla="*/ 1377202 h 13596938"/>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2306944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4 w 20336931"/>
            <a:gd name="csY4" fmla="*/ 1238642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0336931" h="13598134">
              <a:moveTo>
                <a:pt x="24868" y="1377202"/>
              </a:moveTo>
              <a:cubicBezTo>
                <a:pt x="24868" y="129997"/>
                <a:pt x="-35636" y="0"/>
                <a:pt x="1211569" y="0"/>
              </a:cubicBezTo>
              <a:lnTo>
                <a:pt x="19054979" y="95250"/>
              </a:lnTo>
              <a:cubicBezTo>
                <a:pt x="20302184" y="95250"/>
                <a:pt x="20336931" y="106184"/>
                <a:pt x="20336931" y="1353389"/>
              </a:cubicBezTo>
              <a:lnTo>
                <a:pt x="20289304" y="12386424"/>
              </a:lnTo>
              <a:cubicBezTo>
                <a:pt x="20289304" y="13633629"/>
                <a:pt x="20230745" y="13525501"/>
                <a:pt x="18983540" y="13525501"/>
              </a:cubicBezTo>
              <a:lnTo>
                <a:pt x="1425882" y="13596938"/>
              </a:lnTo>
              <a:cubicBezTo>
                <a:pt x="178677" y="13596938"/>
                <a:pt x="1055" y="13681254"/>
                <a:pt x="1055" y="12434049"/>
              </a:cubicBezTo>
              <a:cubicBezTo>
                <a:pt x="-6882" y="9057996"/>
                <a:pt x="32805" y="4753255"/>
                <a:pt x="24868" y="1377202"/>
              </a:cubicBezTo>
              <a:close/>
            </a:path>
          </a:pathLst>
        </a:cu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498231</xdr:colOff>
      <xdr:row>11</xdr:row>
      <xdr:rowOff>130468</xdr:rowOff>
    </xdr:from>
    <xdr:to>
      <xdr:col>7</xdr:col>
      <xdr:colOff>468925</xdr:colOff>
      <xdr:row>20</xdr:row>
      <xdr:rowOff>247700</xdr:rowOff>
    </xdr:to>
    <xdr:sp macro="" textlink="">
      <xdr:nvSpPr>
        <xdr:cNvPr id="22" name="Rectangle: Rounded Corners 16">
          <a:extLst>
            <a:ext uri="{FF2B5EF4-FFF2-40B4-BE49-F238E27FC236}">
              <a16:creationId xmlns:a16="http://schemas.microsoft.com/office/drawing/2014/main" id="{F5FF5306-576C-4136-A327-0AACA1AF961A}"/>
            </a:ext>
          </a:extLst>
        </xdr:cNvPr>
        <xdr:cNvSpPr/>
      </xdr:nvSpPr>
      <xdr:spPr>
        <a:xfrm>
          <a:off x="2337541" y="3020813"/>
          <a:ext cx="4568970" cy="2482059"/>
        </a:xfrm>
        <a:custGeom>
          <a:avLst/>
          <a:gdLst>
            <a:gd name="csX0" fmla="*/ 0 w 20240625"/>
            <a:gd name="csY0" fmla="*/ 2258264 h 13549313"/>
            <a:gd name="csX1" fmla="*/ 2258264 w 20240625"/>
            <a:gd name="csY1" fmla="*/ 0 h 13549313"/>
            <a:gd name="csX2" fmla="*/ 17982361 w 20240625"/>
            <a:gd name="csY2" fmla="*/ 0 h 13549313"/>
            <a:gd name="csX3" fmla="*/ 20240625 w 20240625"/>
            <a:gd name="csY3" fmla="*/ 2258264 h 13549313"/>
            <a:gd name="csX4" fmla="*/ 20240625 w 20240625"/>
            <a:gd name="csY4" fmla="*/ 11291049 h 13549313"/>
            <a:gd name="csX5" fmla="*/ 17982361 w 20240625"/>
            <a:gd name="csY5" fmla="*/ 13549313 h 13549313"/>
            <a:gd name="csX6" fmla="*/ 2258264 w 20240625"/>
            <a:gd name="csY6" fmla="*/ 13549313 h 13549313"/>
            <a:gd name="csX7" fmla="*/ 0 w 20240625"/>
            <a:gd name="csY7" fmla="*/ 11291049 h 13549313"/>
            <a:gd name="csX8" fmla="*/ 0 w 20240625"/>
            <a:gd name="csY8" fmla="*/ 2258264 h 13549313"/>
            <a:gd name="csX0" fmla="*/ 0 w 20240625"/>
            <a:gd name="csY0" fmla="*/ 1097672 h 13555533"/>
            <a:gd name="csX1" fmla="*/ 2258264 w 20240625"/>
            <a:gd name="csY1" fmla="*/ 6220 h 13555533"/>
            <a:gd name="csX2" fmla="*/ 17982361 w 20240625"/>
            <a:gd name="csY2" fmla="*/ 6220 h 13555533"/>
            <a:gd name="csX3" fmla="*/ 20240625 w 20240625"/>
            <a:gd name="csY3" fmla="*/ 2264484 h 13555533"/>
            <a:gd name="csX4" fmla="*/ 20240625 w 20240625"/>
            <a:gd name="csY4" fmla="*/ 11297269 h 13555533"/>
            <a:gd name="csX5" fmla="*/ 17982361 w 20240625"/>
            <a:gd name="csY5" fmla="*/ 13555533 h 13555533"/>
            <a:gd name="csX6" fmla="*/ 2258264 w 20240625"/>
            <a:gd name="csY6" fmla="*/ 13555533 h 13555533"/>
            <a:gd name="csX7" fmla="*/ 0 w 20240625"/>
            <a:gd name="csY7" fmla="*/ 11297269 h 13555533"/>
            <a:gd name="csX8" fmla="*/ 0 w 20240625"/>
            <a:gd name="csY8" fmla="*/ 1097672 h 13555533"/>
            <a:gd name="csX0" fmla="*/ 31312 w 20271937"/>
            <a:gd name="csY0" fmla="*/ 1097672 h 13555533"/>
            <a:gd name="csX1" fmla="*/ 979888 w 20271937"/>
            <a:gd name="csY1" fmla="*/ 6220 h 13555533"/>
            <a:gd name="csX2" fmla="*/ 18013673 w 20271937"/>
            <a:gd name="csY2" fmla="*/ 6220 h 13555533"/>
            <a:gd name="csX3" fmla="*/ 20271937 w 20271937"/>
            <a:gd name="csY3" fmla="*/ 2264484 h 13555533"/>
            <a:gd name="csX4" fmla="*/ 20271937 w 20271937"/>
            <a:gd name="csY4" fmla="*/ 11297269 h 13555533"/>
            <a:gd name="csX5" fmla="*/ 18013673 w 20271937"/>
            <a:gd name="csY5" fmla="*/ 13555533 h 13555533"/>
            <a:gd name="csX6" fmla="*/ 2289576 w 20271937"/>
            <a:gd name="csY6" fmla="*/ 13555533 h 13555533"/>
            <a:gd name="csX7" fmla="*/ 31312 w 20271937"/>
            <a:gd name="csY7" fmla="*/ 11297269 h 13555533"/>
            <a:gd name="csX8" fmla="*/ 31312 w 20271937"/>
            <a:gd name="csY8" fmla="*/ 1097672 h 13555533"/>
            <a:gd name="csX0" fmla="*/ 25714 w 20290151"/>
            <a:gd name="csY0" fmla="*/ 1164086 h 13550510"/>
            <a:gd name="csX1" fmla="*/ 998102 w 20290151"/>
            <a:gd name="csY1" fmla="*/ 1197 h 13550510"/>
            <a:gd name="csX2" fmla="*/ 18031887 w 20290151"/>
            <a:gd name="csY2" fmla="*/ 1197 h 13550510"/>
            <a:gd name="csX3" fmla="*/ 20290151 w 20290151"/>
            <a:gd name="csY3" fmla="*/ 2259461 h 13550510"/>
            <a:gd name="csX4" fmla="*/ 20290151 w 20290151"/>
            <a:gd name="csY4" fmla="*/ 11292246 h 13550510"/>
            <a:gd name="csX5" fmla="*/ 18031887 w 20290151"/>
            <a:gd name="csY5" fmla="*/ 13550510 h 13550510"/>
            <a:gd name="csX6" fmla="*/ 2307790 w 20290151"/>
            <a:gd name="csY6" fmla="*/ 13550510 h 13550510"/>
            <a:gd name="csX7" fmla="*/ 49526 w 20290151"/>
            <a:gd name="csY7" fmla="*/ 11292246 h 13550510"/>
            <a:gd name="csX8" fmla="*/ 25714 w 20290151"/>
            <a:gd name="csY8" fmla="*/ 1164086 h 13550510"/>
            <a:gd name="csX0" fmla="*/ 25714 w 20290156"/>
            <a:gd name="csY0" fmla="*/ 1164086 h 13550510"/>
            <a:gd name="csX1" fmla="*/ 998102 w 20290156"/>
            <a:gd name="csY1" fmla="*/ 1197 h 13550510"/>
            <a:gd name="csX2" fmla="*/ 19055825 w 20290156"/>
            <a:gd name="csY2" fmla="*/ 48822 h 13550510"/>
            <a:gd name="csX3" fmla="*/ 20290151 w 20290156"/>
            <a:gd name="csY3" fmla="*/ 2259461 h 13550510"/>
            <a:gd name="csX4" fmla="*/ 20290151 w 20290156"/>
            <a:gd name="csY4" fmla="*/ 11292246 h 13550510"/>
            <a:gd name="csX5" fmla="*/ 18031887 w 20290156"/>
            <a:gd name="csY5" fmla="*/ 13550510 h 13550510"/>
            <a:gd name="csX6" fmla="*/ 2307790 w 20290156"/>
            <a:gd name="csY6" fmla="*/ 13550510 h 13550510"/>
            <a:gd name="csX7" fmla="*/ 49526 w 20290156"/>
            <a:gd name="csY7" fmla="*/ 11292246 h 13550510"/>
            <a:gd name="csX8" fmla="*/ 25714 w 20290156"/>
            <a:gd name="csY8" fmla="*/ 1164086 h 13550510"/>
            <a:gd name="csX0" fmla="*/ 25714 w 20337777"/>
            <a:gd name="csY0" fmla="*/ 1164086 h 13550510"/>
            <a:gd name="csX1" fmla="*/ 998102 w 20337777"/>
            <a:gd name="csY1" fmla="*/ 1197 h 13550510"/>
            <a:gd name="csX2" fmla="*/ 19055825 w 20337777"/>
            <a:gd name="csY2" fmla="*/ 48822 h 13550510"/>
            <a:gd name="csX3" fmla="*/ 20337777 w 20337777"/>
            <a:gd name="csY3" fmla="*/ 1306961 h 13550510"/>
            <a:gd name="csX4" fmla="*/ 20290151 w 20337777"/>
            <a:gd name="csY4" fmla="*/ 11292246 h 13550510"/>
            <a:gd name="csX5" fmla="*/ 18031887 w 20337777"/>
            <a:gd name="csY5" fmla="*/ 13550510 h 13550510"/>
            <a:gd name="csX6" fmla="*/ 2307790 w 20337777"/>
            <a:gd name="csY6" fmla="*/ 13550510 h 13550510"/>
            <a:gd name="csX7" fmla="*/ 49526 w 20337777"/>
            <a:gd name="csY7" fmla="*/ 11292246 h 13550510"/>
            <a:gd name="csX8" fmla="*/ 25714 w 20337777"/>
            <a:gd name="csY8" fmla="*/ 1164086 h 13550510"/>
            <a:gd name="csX0" fmla="*/ 25714 w 20337777"/>
            <a:gd name="csY0" fmla="*/ 1329577 h 13549313"/>
            <a:gd name="csX1" fmla="*/ 998102 w 20337777"/>
            <a:gd name="csY1" fmla="*/ 0 h 13549313"/>
            <a:gd name="csX2" fmla="*/ 19055825 w 20337777"/>
            <a:gd name="csY2" fmla="*/ 47625 h 13549313"/>
            <a:gd name="csX3" fmla="*/ 20337777 w 20337777"/>
            <a:gd name="csY3" fmla="*/ 1305764 h 13549313"/>
            <a:gd name="csX4" fmla="*/ 20290151 w 20337777"/>
            <a:gd name="csY4" fmla="*/ 11291049 h 13549313"/>
            <a:gd name="csX5" fmla="*/ 18031887 w 20337777"/>
            <a:gd name="csY5" fmla="*/ 13549313 h 13549313"/>
            <a:gd name="csX6" fmla="*/ 2307790 w 20337777"/>
            <a:gd name="csY6" fmla="*/ 13549313 h 13549313"/>
            <a:gd name="csX7" fmla="*/ 49526 w 20337777"/>
            <a:gd name="csY7" fmla="*/ 11291049 h 13549313"/>
            <a:gd name="csX8" fmla="*/ 25714 w 20337777"/>
            <a:gd name="csY8" fmla="*/ 1329577 h 13549313"/>
            <a:gd name="csX0" fmla="*/ 474 w 20312537"/>
            <a:gd name="csY0" fmla="*/ 1377202 h 13596938"/>
            <a:gd name="csX1" fmla="*/ 1187175 w 20312537"/>
            <a:gd name="csY1" fmla="*/ 0 h 13596938"/>
            <a:gd name="csX2" fmla="*/ 19030585 w 20312537"/>
            <a:gd name="csY2" fmla="*/ 95250 h 13596938"/>
            <a:gd name="csX3" fmla="*/ 20312537 w 20312537"/>
            <a:gd name="csY3" fmla="*/ 1353389 h 13596938"/>
            <a:gd name="csX4" fmla="*/ 20264911 w 20312537"/>
            <a:gd name="csY4" fmla="*/ 11338674 h 13596938"/>
            <a:gd name="csX5" fmla="*/ 18006647 w 20312537"/>
            <a:gd name="csY5" fmla="*/ 13596938 h 13596938"/>
            <a:gd name="csX6" fmla="*/ 2282550 w 20312537"/>
            <a:gd name="csY6" fmla="*/ 13596938 h 13596938"/>
            <a:gd name="csX7" fmla="*/ 24286 w 20312537"/>
            <a:gd name="csY7" fmla="*/ 11338674 h 13596938"/>
            <a:gd name="csX8" fmla="*/ 474 w 20312537"/>
            <a:gd name="csY8" fmla="*/ 1377202 h 13596938"/>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2306944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4 w 20336931"/>
            <a:gd name="csY4" fmla="*/ 1238642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0336931" h="13598134">
              <a:moveTo>
                <a:pt x="24868" y="1377202"/>
              </a:moveTo>
              <a:cubicBezTo>
                <a:pt x="24868" y="129997"/>
                <a:pt x="-35636" y="0"/>
                <a:pt x="1211569" y="0"/>
              </a:cubicBezTo>
              <a:lnTo>
                <a:pt x="19054979" y="95250"/>
              </a:lnTo>
              <a:cubicBezTo>
                <a:pt x="20302184" y="95250"/>
                <a:pt x="20336931" y="106184"/>
                <a:pt x="20336931" y="1353389"/>
              </a:cubicBezTo>
              <a:lnTo>
                <a:pt x="20289304" y="12386424"/>
              </a:lnTo>
              <a:cubicBezTo>
                <a:pt x="20289304" y="13633629"/>
                <a:pt x="20230745" y="13525501"/>
                <a:pt x="18983540" y="13525501"/>
              </a:cubicBezTo>
              <a:lnTo>
                <a:pt x="1425882" y="13596938"/>
              </a:lnTo>
              <a:cubicBezTo>
                <a:pt x="178677" y="13596938"/>
                <a:pt x="1055" y="13681254"/>
                <a:pt x="1055" y="12434049"/>
              </a:cubicBezTo>
              <a:cubicBezTo>
                <a:pt x="-6882" y="9057996"/>
                <a:pt x="32805" y="4753255"/>
                <a:pt x="24868" y="1377202"/>
              </a:cubicBez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392770</xdr:colOff>
      <xdr:row>11</xdr:row>
      <xdr:rowOff>156410</xdr:rowOff>
    </xdr:from>
    <xdr:to>
      <xdr:col>23</xdr:col>
      <xdr:colOff>363463</xdr:colOff>
      <xdr:row>21</xdr:row>
      <xdr:rowOff>1114</xdr:rowOff>
    </xdr:to>
    <xdr:sp macro="" textlink="">
      <xdr:nvSpPr>
        <xdr:cNvPr id="23" name="Rectangle: Rounded Corners 16">
          <a:extLst>
            <a:ext uri="{FF2B5EF4-FFF2-40B4-BE49-F238E27FC236}">
              <a16:creationId xmlns:a16="http://schemas.microsoft.com/office/drawing/2014/main" id="{782D8263-AECE-4D07-8FAD-632FB2EE6B87}"/>
            </a:ext>
          </a:extLst>
        </xdr:cNvPr>
        <xdr:cNvSpPr/>
      </xdr:nvSpPr>
      <xdr:spPr>
        <a:xfrm>
          <a:off x="16946563" y="3046755"/>
          <a:ext cx="4568969" cy="2472290"/>
        </a:xfrm>
        <a:custGeom>
          <a:avLst/>
          <a:gdLst>
            <a:gd name="csX0" fmla="*/ 0 w 20240625"/>
            <a:gd name="csY0" fmla="*/ 2258264 h 13549313"/>
            <a:gd name="csX1" fmla="*/ 2258264 w 20240625"/>
            <a:gd name="csY1" fmla="*/ 0 h 13549313"/>
            <a:gd name="csX2" fmla="*/ 17982361 w 20240625"/>
            <a:gd name="csY2" fmla="*/ 0 h 13549313"/>
            <a:gd name="csX3" fmla="*/ 20240625 w 20240625"/>
            <a:gd name="csY3" fmla="*/ 2258264 h 13549313"/>
            <a:gd name="csX4" fmla="*/ 20240625 w 20240625"/>
            <a:gd name="csY4" fmla="*/ 11291049 h 13549313"/>
            <a:gd name="csX5" fmla="*/ 17982361 w 20240625"/>
            <a:gd name="csY5" fmla="*/ 13549313 h 13549313"/>
            <a:gd name="csX6" fmla="*/ 2258264 w 20240625"/>
            <a:gd name="csY6" fmla="*/ 13549313 h 13549313"/>
            <a:gd name="csX7" fmla="*/ 0 w 20240625"/>
            <a:gd name="csY7" fmla="*/ 11291049 h 13549313"/>
            <a:gd name="csX8" fmla="*/ 0 w 20240625"/>
            <a:gd name="csY8" fmla="*/ 2258264 h 13549313"/>
            <a:gd name="csX0" fmla="*/ 0 w 20240625"/>
            <a:gd name="csY0" fmla="*/ 1097672 h 13555533"/>
            <a:gd name="csX1" fmla="*/ 2258264 w 20240625"/>
            <a:gd name="csY1" fmla="*/ 6220 h 13555533"/>
            <a:gd name="csX2" fmla="*/ 17982361 w 20240625"/>
            <a:gd name="csY2" fmla="*/ 6220 h 13555533"/>
            <a:gd name="csX3" fmla="*/ 20240625 w 20240625"/>
            <a:gd name="csY3" fmla="*/ 2264484 h 13555533"/>
            <a:gd name="csX4" fmla="*/ 20240625 w 20240625"/>
            <a:gd name="csY4" fmla="*/ 11297269 h 13555533"/>
            <a:gd name="csX5" fmla="*/ 17982361 w 20240625"/>
            <a:gd name="csY5" fmla="*/ 13555533 h 13555533"/>
            <a:gd name="csX6" fmla="*/ 2258264 w 20240625"/>
            <a:gd name="csY6" fmla="*/ 13555533 h 13555533"/>
            <a:gd name="csX7" fmla="*/ 0 w 20240625"/>
            <a:gd name="csY7" fmla="*/ 11297269 h 13555533"/>
            <a:gd name="csX8" fmla="*/ 0 w 20240625"/>
            <a:gd name="csY8" fmla="*/ 1097672 h 13555533"/>
            <a:gd name="csX0" fmla="*/ 31312 w 20271937"/>
            <a:gd name="csY0" fmla="*/ 1097672 h 13555533"/>
            <a:gd name="csX1" fmla="*/ 979888 w 20271937"/>
            <a:gd name="csY1" fmla="*/ 6220 h 13555533"/>
            <a:gd name="csX2" fmla="*/ 18013673 w 20271937"/>
            <a:gd name="csY2" fmla="*/ 6220 h 13555533"/>
            <a:gd name="csX3" fmla="*/ 20271937 w 20271937"/>
            <a:gd name="csY3" fmla="*/ 2264484 h 13555533"/>
            <a:gd name="csX4" fmla="*/ 20271937 w 20271937"/>
            <a:gd name="csY4" fmla="*/ 11297269 h 13555533"/>
            <a:gd name="csX5" fmla="*/ 18013673 w 20271937"/>
            <a:gd name="csY5" fmla="*/ 13555533 h 13555533"/>
            <a:gd name="csX6" fmla="*/ 2289576 w 20271937"/>
            <a:gd name="csY6" fmla="*/ 13555533 h 13555533"/>
            <a:gd name="csX7" fmla="*/ 31312 w 20271937"/>
            <a:gd name="csY7" fmla="*/ 11297269 h 13555533"/>
            <a:gd name="csX8" fmla="*/ 31312 w 20271937"/>
            <a:gd name="csY8" fmla="*/ 1097672 h 13555533"/>
            <a:gd name="csX0" fmla="*/ 25714 w 20290151"/>
            <a:gd name="csY0" fmla="*/ 1164086 h 13550510"/>
            <a:gd name="csX1" fmla="*/ 998102 w 20290151"/>
            <a:gd name="csY1" fmla="*/ 1197 h 13550510"/>
            <a:gd name="csX2" fmla="*/ 18031887 w 20290151"/>
            <a:gd name="csY2" fmla="*/ 1197 h 13550510"/>
            <a:gd name="csX3" fmla="*/ 20290151 w 20290151"/>
            <a:gd name="csY3" fmla="*/ 2259461 h 13550510"/>
            <a:gd name="csX4" fmla="*/ 20290151 w 20290151"/>
            <a:gd name="csY4" fmla="*/ 11292246 h 13550510"/>
            <a:gd name="csX5" fmla="*/ 18031887 w 20290151"/>
            <a:gd name="csY5" fmla="*/ 13550510 h 13550510"/>
            <a:gd name="csX6" fmla="*/ 2307790 w 20290151"/>
            <a:gd name="csY6" fmla="*/ 13550510 h 13550510"/>
            <a:gd name="csX7" fmla="*/ 49526 w 20290151"/>
            <a:gd name="csY7" fmla="*/ 11292246 h 13550510"/>
            <a:gd name="csX8" fmla="*/ 25714 w 20290151"/>
            <a:gd name="csY8" fmla="*/ 1164086 h 13550510"/>
            <a:gd name="csX0" fmla="*/ 25714 w 20290156"/>
            <a:gd name="csY0" fmla="*/ 1164086 h 13550510"/>
            <a:gd name="csX1" fmla="*/ 998102 w 20290156"/>
            <a:gd name="csY1" fmla="*/ 1197 h 13550510"/>
            <a:gd name="csX2" fmla="*/ 19055825 w 20290156"/>
            <a:gd name="csY2" fmla="*/ 48822 h 13550510"/>
            <a:gd name="csX3" fmla="*/ 20290151 w 20290156"/>
            <a:gd name="csY3" fmla="*/ 2259461 h 13550510"/>
            <a:gd name="csX4" fmla="*/ 20290151 w 20290156"/>
            <a:gd name="csY4" fmla="*/ 11292246 h 13550510"/>
            <a:gd name="csX5" fmla="*/ 18031887 w 20290156"/>
            <a:gd name="csY5" fmla="*/ 13550510 h 13550510"/>
            <a:gd name="csX6" fmla="*/ 2307790 w 20290156"/>
            <a:gd name="csY6" fmla="*/ 13550510 h 13550510"/>
            <a:gd name="csX7" fmla="*/ 49526 w 20290156"/>
            <a:gd name="csY7" fmla="*/ 11292246 h 13550510"/>
            <a:gd name="csX8" fmla="*/ 25714 w 20290156"/>
            <a:gd name="csY8" fmla="*/ 1164086 h 13550510"/>
            <a:gd name="csX0" fmla="*/ 25714 w 20337777"/>
            <a:gd name="csY0" fmla="*/ 1164086 h 13550510"/>
            <a:gd name="csX1" fmla="*/ 998102 w 20337777"/>
            <a:gd name="csY1" fmla="*/ 1197 h 13550510"/>
            <a:gd name="csX2" fmla="*/ 19055825 w 20337777"/>
            <a:gd name="csY2" fmla="*/ 48822 h 13550510"/>
            <a:gd name="csX3" fmla="*/ 20337777 w 20337777"/>
            <a:gd name="csY3" fmla="*/ 1306961 h 13550510"/>
            <a:gd name="csX4" fmla="*/ 20290151 w 20337777"/>
            <a:gd name="csY4" fmla="*/ 11292246 h 13550510"/>
            <a:gd name="csX5" fmla="*/ 18031887 w 20337777"/>
            <a:gd name="csY5" fmla="*/ 13550510 h 13550510"/>
            <a:gd name="csX6" fmla="*/ 2307790 w 20337777"/>
            <a:gd name="csY6" fmla="*/ 13550510 h 13550510"/>
            <a:gd name="csX7" fmla="*/ 49526 w 20337777"/>
            <a:gd name="csY7" fmla="*/ 11292246 h 13550510"/>
            <a:gd name="csX8" fmla="*/ 25714 w 20337777"/>
            <a:gd name="csY8" fmla="*/ 1164086 h 13550510"/>
            <a:gd name="csX0" fmla="*/ 25714 w 20337777"/>
            <a:gd name="csY0" fmla="*/ 1329577 h 13549313"/>
            <a:gd name="csX1" fmla="*/ 998102 w 20337777"/>
            <a:gd name="csY1" fmla="*/ 0 h 13549313"/>
            <a:gd name="csX2" fmla="*/ 19055825 w 20337777"/>
            <a:gd name="csY2" fmla="*/ 47625 h 13549313"/>
            <a:gd name="csX3" fmla="*/ 20337777 w 20337777"/>
            <a:gd name="csY3" fmla="*/ 1305764 h 13549313"/>
            <a:gd name="csX4" fmla="*/ 20290151 w 20337777"/>
            <a:gd name="csY4" fmla="*/ 11291049 h 13549313"/>
            <a:gd name="csX5" fmla="*/ 18031887 w 20337777"/>
            <a:gd name="csY5" fmla="*/ 13549313 h 13549313"/>
            <a:gd name="csX6" fmla="*/ 2307790 w 20337777"/>
            <a:gd name="csY6" fmla="*/ 13549313 h 13549313"/>
            <a:gd name="csX7" fmla="*/ 49526 w 20337777"/>
            <a:gd name="csY7" fmla="*/ 11291049 h 13549313"/>
            <a:gd name="csX8" fmla="*/ 25714 w 20337777"/>
            <a:gd name="csY8" fmla="*/ 1329577 h 13549313"/>
            <a:gd name="csX0" fmla="*/ 474 w 20312537"/>
            <a:gd name="csY0" fmla="*/ 1377202 h 13596938"/>
            <a:gd name="csX1" fmla="*/ 1187175 w 20312537"/>
            <a:gd name="csY1" fmla="*/ 0 h 13596938"/>
            <a:gd name="csX2" fmla="*/ 19030585 w 20312537"/>
            <a:gd name="csY2" fmla="*/ 95250 h 13596938"/>
            <a:gd name="csX3" fmla="*/ 20312537 w 20312537"/>
            <a:gd name="csY3" fmla="*/ 1353389 h 13596938"/>
            <a:gd name="csX4" fmla="*/ 20264911 w 20312537"/>
            <a:gd name="csY4" fmla="*/ 11338674 h 13596938"/>
            <a:gd name="csX5" fmla="*/ 18006647 w 20312537"/>
            <a:gd name="csY5" fmla="*/ 13596938 h 13596938"/>
            <a:gd name="csX6" fmla="*/ 2282550 w 20312537"/>
            <a:gd name="csY6" fmla="*/ 13596938 h 13596938"/>
            <a:gd name="csX7" fmla="*/ 24286 w 20312537"/>
            <a:gd name="csY7" fmla="*/ 11338674 h 13596938"/>
            <a:gd name="csX8" fmla="*/ 474 w 20312537"/>
            <a:gd name="csY8" fmla="*/ 1377202 h 13596938"/>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2306944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4 w 20336931"/>
            <a:gd name="csY4" fmla="*/ 1238642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0336931" h="13598134">
              <a:moveTo>
                <a:pt x="24868" y="1377202"/>
              </a:moveTo>
              <a:cubicBezTo>
                <a:pt x="24868" y="129997"/>
                <a:pt x="-35636" y="0"/>
                <a:pt x="1211569" y="0"/>
              </a:cubicBezTo>
              <a:lnTo>
                <a:pt x="19054979" y="95250"/>
              </a:lnTo>
              <a:cubicBezTo>
                <a:pt x="20302184" y="95250"/>
                <a:pt x="20336931" y="106184"/>
                <a:pt x="20336931" y="1353389"/>
              </a:cubicBezTo>
              <a:lnTo>
                <a:pt x="20289304" y="12386424"/>
              </a:lnTo>
              <a:cubicBezTo>
                <a:pt x="20289304" y="13633629"/>
                <a:pt x="20230745" y="13525501"/>
                <a:pt x="18983540" y="13525501"/>
              </a:cubicBezTo>
              <a:lnTo>
                <a:pt x="1425882" y="13596938"/>
              </a:lnTo>
              <a:cubicBezTo>
                <a:pt x="178677" y="13596938"/>
                <a:pt x="1055" y="13681254"/>
                <a:pt x="1055" y="12434049"/>
              </a:cubicBezTo>
              <a:cubicBezTo>
                <a:pt x="-6882" y="9057996"/>
                <a:pt x="32805" y="4753255"/>
                <a:pt x="24868" y="1377202"/>
              </a:cubicBez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76247</xdr:colOff>
      <xdr:row>11</xdr:row>
      <xdr:rowOff>144255</xdr:rowOff>
    </xdr:from>
    <xdr:to>
      <xdr:col>18</xdr:col>
      <xdr:colOff>46941</xdr:colOff>
      <xdr:row>20</xdr:row>
      <xdr:rowOff>261487</xdr:rowOff>
    </xdr:to>
    <xdr:sp macro="" textlink="">
      <xdr:nvSpPr>
        <xdr:cNvPr id="24" name="Rectangle: Rounded Corners 16">
          <a:extLst>
            <a:ext uri="{FF2B5EF4-FFF2-40B4-BE49-F238E27FC236}">
              <a16:creationId xmlns:a16="http://schemas.microsoft.com/office/drawing/2014/main" id="{DE318FCF-8D82-466F-8634-407098C37FAD}"/>
            </a:ext>
          </a:extLst>
        </xdr:cNvPr>
        <xdr:cNvSpPr/>
      </xdr:nvSpPr>
      <xdr:spPr>
        <a:xfrm>
          <a:off x="12031764" y="3034600"/>
          <a:ext cx="4568970" cy="2482059"/>
        </a:xfrm>
        <a:custGeom>
          <a:avLst/>
          <a:gdLst>
            <a:gd name="csX0" fmla="*/ 0 w 20240625"/>
            <a:gd name="csY0" fmla="*/ 2258264 h 13549313"/>
            <a:gd name="csX1" fmla="*/ 2258264 w 20240625"/>
            <a:gd name="csY1" fmla="*/ 0 h 13549313"/>
            <a:gd name="csX2" fmla="*/ 17982361 w 20240625"/>
            <a:gd name="csY2" fmla="*/ 0 h 13549313"/>
            <a:gd name="csX3" fmla="*/ 20240625 w 20240625"/>
            <a:gd name="csY3" fmla="*/ 2258264 h 13549313"/>
            <a:gd name="csX4" fmla="*/ 20240625 w 20240625"/>
            <a:gd name="csY4" fmla="*/ 11291049 h 13549313"/>
            <a:gd name="csX5" fmla="*/ 17982361 w 20240625"/>
            <a:gd name="csY5" fmla="*/ 13549313 h 13549313"/>
            <a:gd name="csX6" fmla="*/ 2258264 w 20240625"/>
            <a:gd name="csY6" fmla="*/ 13549313 h 13549313"/>
            <a:gd name="csX7" fmla="*/ 0 w 20240625"/>
            <a:gd name="csY7" fmla="*/ 11291049 h 13549313"/>
            <a:gd name="csX8" fmla="*/ 0 w 20240625"/>
            <a:gd name="csY8" fmla="*/ 2258264 h 13549313"/>
            <a:gd name="csX0" fmla="*/ 0 w 20240625"/>
            <a:gd name="csY0" fmla="*/ 1097672 h 13555533"/>
            <a:gd name="csX1" fmla="*/ 2258264 w 20240625"/>
            <a:gd name="csY1" fmla="*/ 6220 h 13555533"/>
            <a:gd name="csX2" fmla="*/ 17982361 w 20240625"/>
            <a:gd name="csY2" fmla="*/ 6220 h 13555533"/>
            <a:gd name="csX3" fmla="*/ 20240625 w 20240625"/>
            <a:gd name="csY3" fmla="*/ 2264484 h 13555533"/>
            <a:gd name="csX4" fmla="*/ 20240625 w 20240625"/>
            <a:gd name="csY4" fmla="*/ 11297269 h 13555533"/>
            <a:gd name="csX5" fmla="*/ 17982361 w 20240625"/>
            <a:gd name="csY5" fmla="*/ 13555533 h 13555533"/>
            <a:gd name="csX6" fmla="*/ 2258264 w 20240625"/>
            <a:gd name="csY6" fmla="*/ 13555533 h 13555533"/>
            <a:gd name="csX7" fmla="*/ 0 w 20240625"/>
            <a:gd name="csY7" fmla="*/ 11297269 h 13555533"/>
            <a:gd name="csX8" fmla="*/ 0 w 20240625"/>
            <a:gd name="csY8" fmla="*/ 1097672 h 13555533"/>
            <a:gd name="csX0" fmla="*/ 31312 w 20271937"/>
            <a:gd name="csY0" fmla="*/ 1097672 h 13555533"/>
            <a:gd name="csX1" fmla="*/ 979888 w 20271937"/>
            <a:gd name="csY1" fmla="*/ 6220 h 13555533"/>
            <a:gd name="csX2" fmla="*/ 18013673 w 20271937"/>
            <a:gd name="csY2" fmla="*/ 6220 h 13555533"/>
            <a:gd name="csX3" fmla="*/ 20271937 w 20271937"/>
            <a:gd name="csY3" fmla="*/ 2264484 h 13555533"/>
            <a:gd name="csX4" fmla="*/ 20271937 w 20271937"/>
            <a:gd name="csY4" fmla="*/ 11297269 h 13555533"/>
            <a:gd name="csX5" fmla="*/ 18013673 w 20271937"/>
            <a:gd name="csY5" fmla="*/ 13555533 h 13555533"/>
            <a:gd name="csX6" fmla="*/ 2289576 w 20271937"/>
            <a:gd name="csY6" fmla="*/ 13555533 h 13555533"/>
            <a:gd name="csX7" fmla="*/ 31312 w 20271937"/>
            <a:gd name="csY7" fmla="*/ 11297269 h 13555533"/>
            <a:gd name="csX8" fmla="*/ 31312 w 20271937"/>
            <a:gd name="csY8" fmla="*/ 1097672 h 13555533"/>
            <a:gd name="csX0" fmla="*/ 25714 w 20290151"/>
            <a:gd name="csY0" fmla="*/ 1164086 h 13550510"/>
            <a:gd name="csX1" fmla="*/ 998102 w 20290151"/>
            <a:gd name="csY1" fmla="*/ 1197 h 13550510"/>
            <a:gd name="csX2" fmla="*/ 18031887 w 20290151"/>
            <a:gd name="csY2" fmla="*/ 1197 h 13550510"/>
            <a:gd name="csX3" fmla="*/ 20290151 w 20290151"/>
            <a:gd name="csY3" fmla="*/ 2259461 h 13550510"/>
            <a:gd name="csX4" fmla="*/ 20290151 w 20290151"/>
            <a:gd name="csY4" fmla="*/ 11292246 h 13550510"/>
            <a:gd name="csX5" fmla="*/ 18031887 w 20290151"/>
            <a:gd name="csY5" fmla="*/ 13550510 h 13550510"/>
            <a:gd name="csX6" fmla="*/ 2307790 w 20290151"/>
            <a:gd name="csY6" fmla="*/ 13550510 h 13550510"/>
            <a:gd name="csX7" fmla="*/ 49526 w 20290151"/>
            <a:gd name="csY7" fmla="*/ 11292246 h 13550510"/>
            <a:gd name="csX8" fmla="*/ 25714 w 20290151"/>
            <a:gd name="csY8" fmla="*/ 1164086 h 13550510"/>
            <a:gd name="csX0" fmla="*/ 25714 w 20290156"/>
            <a:gd name="csY0" fmla="*/ 1164086 h 13550510"/>
            <a:gd name="csX1" fmla="*/ 998102 w 20290156"/>
            <a:gd name="csY1" fmla="*/ 1197 h 13550510"/>
            <a:gd name="csX2" fmla="*/ 19055825 w 20290156"/>
            <a:gd name="csY2" fmla="*/ 48822 h 13550510"/>
            <a:gd name="csX3" fmla="*/ 20290151 w 20290156"/>
            <a:gd name="csY3" fmla="*/ 2259461 h 13550510"/>
            <a:gd name="csX4" fmla="*/ 20290151 w 20290156"/>
            <a:gd name="csY4" fmla="*/ 11292246 h 13550510"/>
            <a:gd name="csX5" fmla="*/ 18031887 w 20290156"/>
            <a:gd name="csY5" fmla="*/ 13550510 h 13550510"/>
            <a:gd name="csX6" fmla="*/ 2307790 w 20290156"/>
            <a:gd name="csY6" fmla="*/ 13550510 h 13550510"/>
            <a:gd name="csX7" fmla="*/ 49526 w 20290156"/>
            <a:gd name="csY7" fmla="*/ 11292246 h 13550510"/>
            <a:gd name="csX8" fmla="*/ 25714 w 20290156"/>
            <a:gd name="csY8" fmla="*/ 1164086 h 13550510"/>
            <a:gd name="csX0" fmla="*/ 25714 w 20337777"/>
            <a:gd name="csY0" fmla="*/ 1164086 h 13550510"/>
            <a:gd name="csX1" fmla="*/ 998102 w 20337777"/>
            <a:gd name="csY1" fmla="*/ 1197 h 13550510"/>
            <a:gd name="csX2" fmla="*/ 19055825 w 20337777"/>
            <a:gd name="csY2" fmla="*/ 48822 h 13550510"/>
            <a:gd name="csX3" fmla="*/ 20337777 w 20337777"/>
            <a:gd name="csY3" fmla="*/ 1306961 h 13550510"/>
            <a:gd name="csX4" fmla="*/ 20290151 w 20337777"/>
            <a:gd name="csY4" fmla="*/ 11292246 h 13550510"/>
            <a:gd name="csX5" fmla="*/ 18031887 w 20337777"/>
            <a:gd name="csY5" fmla="*/ 13550510 h 13550510"/>
            <a:gd name="csX6" fmla="*/ 2307790 w 20337777"/>
            <a:gd name="csY6" fmla="*/ 13550510 h 13550510"/>
            <a:gd name="csX7" fmla="*/ 49526 w 20337777"/>
            <a:gd name="csY7" fmla="*/ 11292246 h 13550510"/>
            <a:gd name="csX8" fmla="*/ 25714 w 20337777"/>
            <a:gd name="csY8" fmla="*/ 1164086 h 13550510"/>
            <a:gd name="csX0" fmla="*/ 25714 w 20337777"/>
            <a:gd name="csY0" fmla="*/ 1329577 h 13549313"/>
            <a:gd name="csX1" fmla="*/ 998102 w 20337777"/>
            <a:gd name="csY1" fmla="*/ 0 h 13549313"/>
            <a:gd name="csX2" fmla="*/ 19055825 w 20337777"/>
            <a:gd name="csY2" fmla="*/ 47625 h 13549313"/>
            <a:gd name="csX3" fmla="*/ 20337777 w 20337777"/>
            <a:gd name="csY3" fmla="*/ 1305764 h 13549313"/>
            <a:gd name="csX4" fmla="*/ 20290151 w 20337777"/>
            <a:gd name="csY4" fmla="*/ 11291049 h 13549313"/>
            <a:gd name="csX5" fmla="*/ 18031887 w 20337777"/>
            <a:gd name="csY5" fmla="*/ 13549313 h 13549313"/>
            <a:gd name="csX6" fmla="*/ 2307790 w 20337777"/>
            <a:gd name="csY6" fmla="*/ 13549313 h 13549313"/>
            <a:gd name="csX7" fmla="*/ 49526 w 20337777"/>
            <a:gd name="csY7" fmla="*/ 11291049 h 13549313"/>
            <a:gd name="csX8" fmla="*/ 25714 w 20337777"/>
            <a:gd name="csY8" fmla="*/ 1329577 h 13549313"/>
            <a:gd name="csX0" fmla="*/ 474 w 20312537"/>
            <a:gd name="csY0" fmla="*/ 1377202 h 13596938"/>
            <a:gd name="csX1" fmla="*/ 1187175 w 20312537"/>
            <a:gd name="csY1" fmla="*/ 0 h 13596938"/>
            <a:gd name="csX2" fmla="*/ 19030585 w 20312537"/>
            <a:gd name="csY2" fmla="*/ 95250 h 13596938"/>
            <a:gd name="csX3" fmla="*/ 20312537 w 20312537"/>
            <a:gd name="csY3" fmla="*/ 1353389 h 13596938"/>
            <a:gd name="csX4" fmla="*/ 20264911 w 20312537"/>
            <a:gd name="csY4" fmla="*/ 11338674 h 13596938"/>
            <a:gd name="csX5" fmla="*/ 18006647 w 20312537"/>
            <a:gd name="csY5" fmla="*/ 13596938 h 13596938"/>
            <a:gd name="csX6" fmla="*/ 2282550 w 20312537"/>
            <a:gd name="csY6" fmla="*/ 13596938 h 13596938"/>
            <a:gd name="csX7" fmla="*/ 24286 w 20312537"/>
            <a:gd name="csY7" fmla="*/ 11338674 h 13596938"/>
            <a:gd name="csX8" fmla="*/ 474 w 20312537"/>
            <a:gd name="csY8" fmla="*/ 1377202 h 13596938"/>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2306944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4 w 20336931"/>
            <a:gd name="csY4" fmla="*/ 1238642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0336931" h="13598134">
              <a:moveTo>
                <a:pt x="24868" y="1377202"/>
              </a:moveTo>
              <a:cubicBezTo>
                <a:pt x="24868" y="129997"/>
                <a:pt x="-35636" y="0"/>
                <a:pt x="1211569" y="0"/>
              </a:cubicBezTo>
              <a:lnTo>
                <a:pt x="19054979" y="95250"/>
              </a:lnTo>
              <a:cubicBezTo>
                <a:pt x="20302184" y="95250"/>
                <a:pt x="20336931" y="106184"/>
                <a:pt x="20336931" y="1353389"/>
              </a:cubicBezTo>
              <a:lnTo>
                <a:pt x="20289304" y="12386424"/>
              </a:lnTo>
              <a:cubicBezTo>
                <a:pt x="20289304" y="13633629"/>
                <a:pt x="20230745" y="13525501"/>
                <a:pt x="18983540" y="13525501"/>
              </a:cubicBezTo>
              <a:lnTo>
                <a:pt x="1425882" y="13596938"/>
              </a:lnTo>
              <a:cubicBezTo>
                <a:pt x="178677" y="13596938"/>
                <a:pt x="1055" y="13681254"/>
                <a:pt x="1055" y="12434049"/>
              </a:cubicBezTo>
              <a:cubicBezTo>
                <a:pt x="-6882" y="9057996"/>
                <a:pt x="32805" y="4753255"/>
                <a:pt x="24868" y="1377202"/>
              </a:cubicBez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726878</xdr:colOff>
      <xdr:row>11</xdr:row>
      <xdr:rowOff>125703</xdr:rowOff>
    </xdr:from>
    <xdr:to>
      <xdr:col>12</xdr:col>
      <xdr:colOff>697571</xdr:colOff>
      <xdr:row>20</xdr:row>
      <xdr:rowOff>242935</xdr:rowOff>
    </xdr:to>
    <xdr:sp macro="" textlink="">
      <xdr:nvSpPr>
        <xdr:cNvPr id="25" name="Rectangle: Rounded Corners 16">
          <a:extLst>
            <a:ext uri="{FF2B5EF4-FFF2-40B4-BE49-F238E27FC236}">
              <a16:creationId xmlns:a16="http://schemas.microsoft.com/office/drawing/2014/main" id="{107E52D6-80E2-4F90-9154-4BB92D244B9F}"/>
            </a:ext>
          </a:extLst>
        </xdr:cNvPr>
        <xdr:cNvSpPr/>
      </xdr:nvSpPr>
      <xdr:spPr>
        <a:xfrm>
          <a:off x="7164464" y="3016048"/>
          <a:ext cx="4568969" cy="2482059"/>
        </a:xfrm>
        <a:custGeom>
          <a:avLst/>
          <a:gdLst>
            <a:gd name="csX0" fmla="*/ 0 w 20240625"/>
            <a:gd name="csY0" fmla="*/ 2258264 h 13549313"/>
            <a:gd name="csX1" fmla="*/ 2258264 w 20240625"/>
            <a:gd name="csY1" fmla="*/ 0 h 13549313"/>
            <a:gd name="csX2" fmla="*/ 17982361 w 20240625"/>
            <a:gd name="csY2" fmla="*/ 0 h 13549313"/>
            <a:gd name="csX3" fmla="*/ 20240625 w 20240625"/>
            <a:gd name="csY3" fmla="*/ 2258264 h 13549313"/>
            <a:gd name="csX4" fmla="*/ 20240625 w 20240625"/>
            <a:gd name="csY4" fmla="*/ 11291049 h 13549313"/>
            <a:gd name="csX5" fmla="*/ 17982361 w 20240625"/>
            <a:gd name="csY5" fmla="*/ 13549313 h 13549313"/>
            <a:gd name="csX6" fmla="*/ 2258264 w 20240625"/>
            <a:gd name="csY6" fmla="*/ 13549313 h 13549313"/>
            <a:gd name="csX7" fmla="*/ 0 w 20240625"/>
            <a:gd name="csY7" fmla="*/ 11291049 h 13549313"/>
            <a:gd name="csX8" fmla="*/ 0 w 20240625"/>
            <a:gd name="csY8" fmla="*/ 2258264 h 13549313"/>
            <a:gd name="csX0" fmla="*/ 0 w 20240625"/>
            <a:gd name="csY0" fmla="*/ 1097672 h 13555533"/>
            <a:gd name="csX1" fmla="*/ 2258264 w 20240625"/>
            <a:gd name="csY1" fmla="*/ 6220 h 13555533"/>
            <a:gd name="csX2" fmla="*/ 17982361 w 20240625"/>
            <a:gd name="csY2" fmla="*/ 6220 h 13555533"/>
            <a:gd name="csX3" fmla="*/ 20240625 w 20240625"/>
            <a:gd name="csY3" fmla="*/ 2264484 h 13555533"/>
            <a:gd name="csX4" fmla="*/ 20240625 w 20240625"/>
            <a:gd name="csY4" fmla="*/ 11297269 h 13555533"/>
            <a:gd name="csX5" fmla="*/ 17982361 w 20240625"/>
            <a:gd name="csY5" fmla="*/ 13555533 h 13555533"/>
            <a:gd name="csX6" fmla="*/ 2258264 w 20240625"/>
            <a:gd name="csY6" fmla="*/ 13555533 h 13555533"/>
            <a:gd name="csX7" fmla="*/ 0 w 20240625"/>
            <a:gd name="csY7" fmla="*/ 11297269 h 13555533"/>
            <a:gd name="csX8" fmla="*/ 0 w 20240625"/>
            <a:gd name="csY8" fmla="*/ 1097672 h 13555533"/>
            <a:gd name="csX0" fmla="*/ 31312 w 20271937"/>
            <a:gd name="csY0" fmla="*/ 1097672 h 13555533"/>
            <a:gd name="csX1" fmla="*/ 979888 w 20271937"/>
            <a:gd name="csY1" fmla="*/ 6220 h 13555533"/>
            <a:gd name="csX2" fmla="*/ 18013673 w 20271937"/>
            <a:gd name="csY2" fmla="*/ 6220 h 13555533"/>
            <a:gd name="csX3" fmla="*/ 20271937 w 20271937"/>
            <a:gd name="csY3" fmla="*/ 2264484 h 13555533"/>
            <a:gd name="csX4" fmla="*/ 20271937 w 20271937"/>
            <a:gd name="csY4" fmla="*/ 11297269 h 13555533"/>
            <a:gd name="csX5" fmla="*/ 18013673 w 20271937"/>
            <a:gd name="csY5" fmla="*/ 13555533 h 13555533"/>
            <a:gd name="csX6" fmla="*/ 2289576 w 20271937"/>
            <a:gd name="csY6" fmla="*/ 13555533 h 13555533"/>
            <a:gd name="csX7" fmla="*/ 31312 w 20271937"/>
            <a:gd name="csY7" fmla="*/ 11297269 h 13555533"/>
            <a:gd name="csX8" fmla="*/ 31312 w 20271937"/>
            <a:gd name="csY8" fmla="*/ 1097672 h 13555533"/>
            <a:gd name="csX0" fmla="*/ 25714 w 20290151"/>
            <a:gd name="csY0" fmla="*/ 1164086 h 13550510"/>
            <a:gd name="csX1" fmla="*/ 998102 w 20290151"/>
            <a:gd name="csY1" fmla="*/ 1197 h 13550510"/>
            <a:gd name="csX2" fmla="*/ 18031887 w 20290151"/>
            <a:gd name="csY2" fmla="*/ 1197 h 13550510"/>
            <a:gd name="csX3" fmla="*/ 20290151 w 20290151"/>
            <a:gd name="csY3" fmla="*/ 2259461 h 13550510"/>
            <a:gd name="csX4" fmla="*/ 20290151 w 20290151"/>
            <a:gd name="csY4" fmla="*/ 11292246 h 13550510"/>
            <a:gd name="csX5" fmla="*/ 18031887 w 20290151"/>
            <a:gd name="csY5" fmla="*/ 13550510 h 13550510"/>
            <a:gd name="csX6" fmla="*/ 2307790 w 20290151"/>
            <a:gd name="csY6" fmla="*/ 13550510 h 13550510"/>
            <a:gd name="csX7" fmla="*/ 49526 w 20290151"/>
            <a:gd name="csY7" fmla="*/ 11292246 h 13550510"/>
            <a:gd name="csX8" fmla="*/ 25714 w 20290151"/>
            <a:gd name="csY8" fmla="*/ 1164086 h 13550510"/>
            <a:gd name="csX0" fmla="*/ 25714 w 20290156"/>
            <a:gd name="csY0" fmla="*/ 1164086 h 13550510"/>
            <a:gd name="csX1" fmla="*/ 998102 w 20290156"/>
            <a:gd name="csY1" fmla="*/ 1197 h 13550510"/>
            <a:gd name="csX2" fmla="*/ 19055825 w 20290156"/>
            <a:gd name="csY2" fmla="*/ 48822 h 13550510"/>
            <a:gd name="csX3" fmla="*/ 20290151 w 20290156"/>
            <a:gd name="csY3" fmla="*/ 2259461 h 13550510"/>
            <a:gd name="csX4" fmla="*/ 20290151 w 20290156"/>
            <a:gd name="csY4" fmla="*/ 11292246 h 13550510"/>
            <a:gd name="csX5" fmla="*/ 18031887 w 20290156"/>
            <a:gd name="csY5" fmla="*/ 13550510 h 13550510"/>
            <a:gd name="csX6" fmla="*/ 2307790 w 20290156"/>
            <a:gd name="csY6" fmla="*/ 13550510 h 13550510"/>
            <a:gd name="csX7" fmla="*/ 49526 w 20290156"/>
            <a:gd name="csY7" fmla="*/ 11292246 h 13550510"/>
            <a:gd name="csX8" fmla="*/ 25714 w 20290156"/>
            <a:gd name="csY8" fmla="*/ 1164086 h 13550510"/>
            <a:gd name="csX0" fmla="*/ 25714 w 20337777"/>
            <a:gd name="csY0" fmla="*/ 1164086 h 13550510"/>
            <a:gd name="csX1" fmla="*/ 998102 w 20337777"/>
            <a:gd name="csY1" fmla="*/ 1197 h 13550510"/>
            <a:gd name="csX2" fmla="*/ 19055825 w 20337777"/>
            <a:gd name="csY2" fmla="*/ 48822 h 13550510"/>
            <a:gd name="csX3" fmla="*/ 20337777 w 20337777"/>
            <a:gd name="csY3" fmla="*/ 1306961 h 13550510"/>
            <a:gd name="csX4" fmla="*/ 20290151 w 20337777"/>
            <a:gd name="csY4" fmla="*/ 11292246 h 13550510"/>
            <a:gd name="csX5" fmla="*/ 18031887 w 20337777"/>
            <a:gd name="csY5" fmla="*/ 13550510 h 13550510"/>
            <a:gd name="csX6" fmla="*/ 2307790 w 20337777"/>
            <a:gd name="csY6" fmla="*/ 13550510 h 13550510"/>
            <a:gd name="csX7" fmla="*/ 49526 w 20337777"/>
            <a:gd name="csY7" fmla="*/ 11292246 h 13550510"/>
            <a:gd name="csX8" fmla="*/ 25714 w 20337777"/>
            <a:gd name="csY8" fmla="*/ 1164086 h 13550510"/>
            <a:gd name="csX0" fmla="*/ 25714 w 20337777"/>
            <a:gd name="csY0" fmla="*/ 1329577 h 13549313"/>
            <a:gd name="csX1" fmla="*/ 998102 w 20337777"/>
            <a:gd name="csY1" fmla="*/ 0 h 13549313"/>
            <a:gd name="csX2" fmla="*/ 19055825 w 20337777"/>
            <a:gd name="csY2" fmla="*/ 47625 h 13549313"/>
            <a:gd name="csX3" fmla="*/ 20337777 w 20337777"/>
            <a:gd name="csY3" fmla="*/ 1305764 h 13549313"/>
            <a:gd name="csX4" fmla="*/ 20290151 w 20337777"/>
            <a:gd name="csY4" fmla="*/ 11291049 h 13549313"/>
            <a:gd name="csX5" fmla="*/ 18031887 w 20337777"/>
            <a:gd name="csY5" fmla="*/ 13549313 h 13549313"/>
            <a:gd name="csX6" fmla="*/ 2307790 w 20337777"/>
            <a:gd name="csY6" fmla="*/ 13549313 h 13549313"/>
            <a:gd name="csX7" fmla="*/ 49526 w 20337777"/>
            <a:gd name="csY7" fmla="*/ 11291049 h 13549313"/>
            <a:gd name="csX8" fmla="*/ 25714 w 20337777"/>
            <a:gd name="csY8" fmla="*/ 1329577 h 13549313"/>
            <a:gd name="csX0" fmla="*/ 474 w 20312537"/>
            <a:gd name="csY0" fmla="*/ 1377202 h 13596938"/>
            <a:gd name="csX1" fmla="*/ 1187175 w 20312537"/>
            <a:gd name="csY1" fmla="*/ 0 h 13596938"/>
            <a:gd name="csX2" fmla="*/ 19030585 w 20312537"/>
            <a:gd name="csY2" fmla="*/ 95250 h 13596938"/>
            <a:gd name="csX3" fmla="*/ 20312537 w 20312537"/>
            <a:gd name="csY3" fmla="*/ 1353389 h 13596938"/>
            <a:gd name="csX4" fmla="*/ 20264911 w 20312537"/>
            <a:gd name="csY4" fmla="*/ 11338674 h 13596938"/>
            <a:gd name="csX5" fmla="*/ 18006647 w 20312537"/>
            <a:gd name="csY5" fmla="*/ 13596938 h 13596938"/>
            <a:gd name="csX6" fmla="*/ 2282550 w 20312537"/>
            <a:gd name="csY6" fmla="*/ 13596938 h 13596938"/>
            <a:gd name="csX7" fmla="*/ 24286 w 20312537"/>
            <a:gd name="csY7" fmla="*/ 11338674 h 13596938"/>
            <a:gd name="csX8" fmla="*/ 474 w 20312537"/>
            <a:gd name="csY8" fmla="*/ 1377202 h 13596938"/>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2306944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4 w 20336931"/>
            <a:gd name="csY4" fmla="*/ 1238642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0336931" h="13598134">
              <a:moveTo>
                <a:pt x="24868" y="1377202"/>
              </a:moveTo>
              <a:cubicBezTo>
                <a:pt x="24868" y="129997"/>
                <a:pt x="-35636" y="0"/>
                <a:pt x="1211569" y="0"/>
              </a:cubicBezTo>
              <a:lnTo>
                <a:pt x="19054979" y="95250"/>
              </a:lnTo>
              <a:cubicBezTo>
                <a:pt x="20302184" y="95250"/>
                <a:pt x="20336931" y="106184"/>
                <a:pt x="20336931" y="1353389"/>
              </a:cubicBezTo>
              <a:lnTo>
                <a:pt x="20289304" y="12386424"/>
              </a:lnTo>
              <a:cubicBezTo>
                <a:pt x="20289304" y="13633629"/>
                <a:pt x="20230745" y="13525501"/>
                <a:pt x="18983540" y="13525501"/>
              </a:cubicBezTo>
              <a:lnTo>
                <a:pt x="1425882" y="13596938"/>
              </a:lnTo>
              <a:cubicBezTo>
                <a:pt x="178677" y="13596938"/>
                <a:pt x="1055" y="13681254"/>
                <a:pt x="1055" y="12434049"/>
              </a:cubicBezTo>
              <a:cubicBezTo>
                <a:pt x="-6882" y="9057996"/>
                <a:pt x="32805" y="4753255"/>
                <a:pt x="24868" y="1377202"/>
              </a:cubicBez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467034</xdr:colOff>
      <xdr:row>3</xdr:row>
      <xdr:rowOff>183930</xdr:rowOff>
    </xdr:from>
    <xdr:to>
      <xdr:col>23</xdr:col>
      <xdr:colOff>501962</xdr:colOff>
      <xdr:row>10</xdr:row>
      <xdr:rowOff>198401</xdr:rowOff>
    </xdr:to>
    <xdr:sp macro="" textlink="">
      <xdr:nvSpPr>
        <xdr:cNvPr id="26" name="Rectangle: Rounded Corners 16">
          <a:extLst>
            <a:ext uri="{FF2B5EF4-FFF2-40B4-BE49-F238E27FC236}">
              <a16:creationId xmlns:a16="http://schemas.microsoft.com/office/drawing/2014/main" id="{9D87A100-E4FF-44DE-8222-F5BBD19C9204}"/>
            </a:ext>
          </a:extLst>
        </xdr:cNvPr>
        <xdr:cNvSpPr/>
      </xdr:nvSpPr>
      <xdr:spPr>
        <a:xfrm>
          <a:off x="2306344" y="972206"/>
          <a:ext cx="19347687" cy="1853781"/>
        </a:xfrm>
        <a:custGeom>
          <a:avLst/>
          <a:gdLst>
            <a:gd name="csX0" fmla="*/ 0 w 20240625"/>
            <a:gd name="csY0" fmla="*/ 2258264 h 13549313"/>
            <a:gd name="csX1" fmla="*/ 2258264 w 20240625"/>
            <a:gd name="csY1" fmla="*/ 0 h 13549313"/>
            <a:gd name="csX2" fmla="*/ 17982361 w 20240625"/>
            <a:gd name="csY2" fmla="*/ 0 h 13549313"/>
            <a:gd name="csX3" fmla="*/ 20240625 w 20240625"/>
            <a:gd name="csY3" fmla="*/ 2258264 h 13549313"/>
            <a:gd name="csX4" fmla="*/ 20240625 w 20240625"/>
            <a:gd name="csY4" fmla="*/ 11291049 h 13549313"/>
            <a:gd name="csX5" fmla="*/ 17982361 w 20240625"/>
            <a:gd name="csY5" fmla="*/ 13549313 h 13549313"/>
            <a:gd name="csX6" fmla="*/ 2258264 w 20240625"/>
            <a:gd name="csY6" fmla="*/ 13549313 h 13549313"/>
            <a:gd name="csX7" fmla="*/ 0 w 20240625"/>
            <a:gd name="csY7" fmla="*/ 11291049 h 13549313"/>
            <a:gd name="csX8" fmla="*/ 0 w 20240625"/>
            <a:gd name="csY8" fmla="*/ 2258264 h 13549313"/>
            <a:gd name="csX0" fmla="*/ 0 w 20240625"/>
            <a:gd name="csY0" fmla="*/ 1097672 h 13555533"/>
            <a:gd name="csX1" fmla="*/ 2258264 w 20240625"/>
            <a:gd name="csY1" fmla="*/ 6220 h 13555533"/>
            <a:gd name="csX2" fmla="*/ 17982361 w 20240625"/>
            <a:gd name="csY2" fmla="*/ 6220 h 13555533"/>
            <a:gd name="csX3" fmla="*/ 20240625 w 20240625"/>
            <a:gd name="csY3" fmla="*/ 2264484 h 13555533"/>
            <a:gd name="csX4" fmla="*/ 20240625 w 20240625"/>
            <a:gd name="csY4" fmla="*/ 11297269 h 13555533"/>
            <a:gd name="csX5" fmla="*/ 17982361 w 20240625"/>
            <a:gd name="csY5" fmla="*/ 13555533 h 13555533"/>
            <a:gd name="csX6" fmla="*/ 2258264 w 20240625"/>
            <a:gd name="csY6" fmla="*/ 13555533 h 13555533"/>
            <a:gd name="csX7" fmla="*/ 0 w 20240625"/>
            <a:gd name="csY7" fmla="*/ 11297269 h 13555533"/>
            <a:gd name="csX8" fmla="*/ 0 w 20240625"/>
            <a:gd name="csY8" fmla="*/ 1097672 h 13555533"/>
            <a:gd name="csX0" fmla="*/ 31312 w 20271937"/>
            <a:gd name="csY0" fmla="*/ 1097672 h 13555533"/>
            <a:gd name="csX1" fmla="*/ 979888 w 20271937"/>
            <a:gd name="csY1" fmla="*/ 6220 h 13555533"/>
            <a:gd name="csX2" fmla="*/ 18013673 w 20271937"/>
            <a:gd name="csY2" fmla="*/ 6220 h 13555533"/>
            <a:gd name="csX3" fmla="*/ 20271937 w 20271937"/>
            <a:gd name="csY3" fmla="*/ 2264484 h 13555533"/>
            <a:gd name="csX4" fmla="*/ 20271937 w 20271937"/>
            <a:gd name="csY4" fmla="*/ 11297269 h 13555533"/>
            <a:gd name="csX5" fmla="*/ 18013673 w 20271937"/>
            <a:gd name="csY5" fmla="*/ 13555533 h 13555533"/>
            <a:gd name="csX6" fmla="*/ 2289576 w 20271937"/>
            <a:gd name="csY6" fmla="*/ 13555533 h 13555533"/>
            <a:gd name="csX7" fmla="*/ 31312 w 20271937"/>
            <a:gd name="csY7" fmla="*/ 11297269 h 13555533"/>
            <a:gd name="csX8" fmla="*/ 31312 w 20271937"/>
            <a:gd name="csY8" fmla="*/ 1097672 h 13555533"/>
            <a:gd name="csX0" fmla="*/ 25714 w 20290151"/>
            <a:gd name="csY0" fmla="*/ 1164086 h 13550510"/>
            <a:gd name="csX1" fmla="*/ 998102 w 20290151"/>
            <a:gd name="csY1" fmla="*/ 1197 h 13550510"/>
            <a:gd name="csX2" fmla="*/ 18031887 w 20290151"/>
            <a:gd name="csY2" fmla="*/ 1197 h 13550510"/>
            <a:gd name="csX3" fmla="*/ 20290151 w 20290151"/>
            <a:gd name="csY3" fmla="*/ 2259461 h 13550510"/>
            <a:gd name="csX4" fmla="*/ 20290151 w 20290151"/>
            <a:gd name="csY4" fmla="*/ 11292246 h 13550510"/>
            <a:gd name="csX5" fmla="*/ 18031887 w 20290151"/>
            <a:gd name="csY5" fmla="*/ 13550510 h 13550510"/>
            <a:gd name="csX6" fmla="*/ 2307790 w 20290151"/>
            <a:gd name="csY6" fmla="*/ 13550510 h 13550510"/>
            <a:gd name="csX7" fmla="*/ 49526 w 20290151"/>
            <a:gd name="csY7" fmla="*/ 11292246 h 13550510"/>
            <a:gd name="csX8" fmla="*/ 25714 w 20290151"/>
            <a:gd name="csY8" fmla="*/ 1164086 h 13550510"/>
            <a:gd name="csX0" fmla="*/ 25714 w 20290156"/>
            <a:gd name="csY0" fmla="*/ 1164086 h 13550510"/>
            <a:gd name="csX1" fmla="*/ 998102 w 20290156"/>
            <a:gd name="csY1" fmla="*/ 1197 h 13550510"/>
            <a:gd name="csX2" fmla="*/ 19055825 w 20290156"/>
            <a:gd name="csY2" fmla="*/ 48822 h 13550510"/>
            <a:gd name="csX3" fmla="*/ 20290151 w 20290156"/>
            <a:gd name="csY3" fmla="*/ 2259461 h 13550510"/>
            <a:gd name="csX4" fmla="*/ 20290151 w 20290156"/>
            <a:gd name="csY4" fmla="*/ 11292246 h 13550510"/>
            <a:gd name="csX5" fmla="*/ 18031887 w 20290156"/>
            <a:gd name="csY5" fmla="*/ 13550510 h 13550510"/>
            <a:gd name="csX6" fmla="*/ 2307790 w 20290156"/>
            <a:gd name="csY6" fmla="*/ 13550510 h 13550510"/>
            <a:gd name="csX7" fmla="*/ 49526 w 20290156"/>
            <a:gd name="csY7" fmla="*/ 11292246 h 13550510"/>
            <a:gd name="csX8" fmla="*/ 25714 w 20290156"/>
            <a:gd name="csY8" fmla="*/ 1164086 h 13550510"/>
            <a:gd name="csX0" fmla="*/ 25714 w 20337777"/>
            <a:gd name="csY0" fmla="*/ 1164086 h 13550510"/>
            <a:gd name="csX1" fmla="*/ 998102 w 20337777"/>
            <a:gd name="csY1" fmla="*/ 1197 h 13550510"/>
            <a:gd name="csX2" fmla="*/ 19055825 w 20337777"/>
            <a:gd name="csY2" fmla="*/ 48822 h 13550510"/>
            <a:gd name="csX3" fmla="*/ 20337777 w 20337777"/>
            <a:gd name="csY3" fmla="*/ 1306961 h 13550510"/>
            <a:gd name="csX4" fmla="*/ 20290151 w 20337777"/>
            <a:gd name="csY4" fmla="*/ 11292246 h 13550510"/>
            <a:gd name="csX5" fmla="*/ 18031887 w 20337777"/>
            <a:gd name="csY5" fmla="*/ 13550510 h 13550510"/>
            <a:gd name="csX6" fmla="*/ 2307790 w 20337777"/>
            <a:gd name="csY6" fmla="*/ 13550510 h 13550510"/>
            <a:gd name="csX7" fmla="*/ 49526 w 20337777"/>
            <a:gd name="csY7" fmla="*/ 11292246 h 13550510"/>
            <a:gd name="csX8" fmla="*/ 25714 w 20337777"/>
            <a:gd name="csY8" fmla="*/ 1164086 h 13550510"/>
            <a:gd name="csX0" fmla="*/ 25714 w 20337777"/>
            <a:gd name="csY0" fmla="*/ 1329577 h 13549313"/>
            <a:gd name="csX1" fmla="*/ 998102 w 20337777"/>
            <a:gd name="csY1" fmla="*/ 0 h 13549313"/>
            <a:gd name="csX2" fmla="*/ 19055825 w 20337777"/>
            <a:gd name="csY2" fmla="*/ 47625 h 13549313"/>
            <a:gd name="csX3" fmla="*/ 20337777 w 20337777"/>
            <a:gd name="csY3" fmla="*/ 1305764 h 13549313"/>
            <a:gd name="csX4" fmla="*/ 20290151 w 20337777"/>
            <a:gd name="csY4" fmla="*/ 11291049 h 13549313"/>
            <a:gd name="csX5" fmla="*/ 18031887 w 20337777"/>
            <a:gd name="csY5" fmla="*/ 13549313 h 13549313"/>
            <a:gd name="csX6" fmla="*/ 2307790 w 20337777"/>
            <a:gd name="csY6" fmla="*/ 13549313 h 13549313"/>
            <a:gd name="csX7" fmla="*/ 49526 w 20337777"/>
            <a:gd name="csY7" fmla="*/ 11291049 h 13549313"/>
            <a:gd name="csX8" fmla="*/ 25714 w 20337777"/>
            <a:gd name="csY8" fmla="*/ 1329577 h 13549313"/>
            <a:gd name="csX0" fmla="*/ 474 w 20312537"/>
            <a:gd name="csY0" fmla="*/ 1377202 h 13596938"/>
            <a:gd name="csX1" fmla="*/ 1187175 w 20312537"/>
            <a:gd name="csY1" fmla="*/ 0 h 13596938"/>
            <a:gd name="csX2" fmla="*/ 19030585 w 20312537"/>
            <a:gd name="csY2" fmla="*/ 95250 h 13596938"/>
            <a:gd name="csX3" fmla="*/ 20312537 w 20312537"/>
            <a:gd name="csY3" fmla="*/ 1353389 h 13596938"/>
            <a:gd name="csX4" fmla="*/ 20264911 w 20312537"/>
            <a:gd name="csY4" fmla="*/ 11338674 h 13596938"/>
            <a:gd name="csX5" fmla="*/ 18006647 w 20312537"/>
            <a:gd name="csY5" fmla="*/ 13596938 h 13596938"/>
            <a:gd name="csX6" fmla="*/ 2282550 w 20312537"/>
            <a:gd name="csY6" fmla="*/ 13596938 h 13596938"/>
            <a:gd name="csX7" fmla="*/ 24286 w 20312537"/>
            <a:gd name="csY7" fmla="*/ 11338674 h 13596938"/>
            <a:gd name="csX8" fmla="*/ 474 w 20312537"/>
            <a:gd name="csY8" fmla="*/ 1377202 h 13596938"/>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2306944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031041 w 20336931"/>
            <a:gd name="csY5" fmla="*/ 13596938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5 w 20336931"/>
            <a:gd name="csY4" fmla="*/ 1133867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 name="csX0" fmla="*/ 24868 w 20336931"/>
            <a:gd name="csY0" fmla="*/ 1377202 h 13598134"/>
            <a:gd name="csX1" fmla="*/ 1211569 w 20336931"/>
            <a:gd name="csY1" fmla="*/ 0 h 13598134"/>
            <a:gd name="csX2" fmla="*/ 19054979 w 20336931"/>
            <a:gd name="csY2" fmla="*/ 95250 h 13598134"/>
            <a:gd name="csX3" fmla="*/ 20336931 w 20336931"/>
            <a:gd name="csY3" fmla="*/ 1353389 h 13598134"/>
            <a:gd name="csX4" fmla="*/ 20289304 w 20336931"/>
            <a:gd name="csY4" fmla="*/ 12386424 h 13598134"/>
            <a:gd name="csX5" fmla="*/ 18983540 w 20336931"/>
            <a:gd name="csY5" fmla="*/ 13525501 h 13598134"/>
            <a:gd name="csX6" fmla="*/ 1425882 w 20336931"/>
            <a:gd name="csY6" fmla="*/ 13596938 h 13598134"/>
            <a:gd name="csX7" fmla="*/ 1055 w 20336931"/>
            <a:gd name="csY7" fmla="*/ 12434049 h 13598134"/>
            <a:gd name="csX8" fmla="*/ 24868 w 20336931"/>
            <a:gd name="csY8" fmla="*/ 1377202 h 13598134"/>
            <a:gd name="csX0" fmla="*/ 24868 w 20336932"/>
            <a:gd name="csY0" fmla="*/ 1377202 h 13598134"/>
            <a:gd name="csX1" fmla="*/ 1211569 w 20336932"/>
            <a:gd name="csY1" fmla="*/ 0 h 13598134"/>
            <a:gd name="csX2" fmla="*/ 19054979 w 20336932"/>
            <a:gd name="csY2" fmla="*/ 95250 h 13598134"/>
            <a:gd name="csX3" fmla="*/ 20336932 w 20336932"/>
            <a:gd name="csY3" fmla="*/ 2059790 h 13598134"/>
            <a:gd name="csX4" fmla="*/ 20289304 w 20336932"/>
            <a:gd name="csY4" fmla="*/ 12386424 h 13598134"/>
            <a:gd name="csX5" fmla="*/ 18983540 w 20336932"/>
            <a:gd name="csY5" fmla="*/ 13525501 h 13598134"/>
            <a:gd name="csX6" fmla="*/ 1425882 w 20336932"/>
            <a:gd name="csY6" fmla="*/ 13596938 h 13598134"/>
            <a:gd name="csX7" fmla="*/ 1055 w 20336932"/>
            <a:gd name="csY7" fmla="*/ 12434049 h 13598134"/>
            <a:gd name="csX8" fmla="*/ 24868 w 20336932"/>
            <a:gd name="csY8" fmla="*/ 1377202 h 13598134"/>
            <a:gd name="csX0" fmla="*/ 24868 w 20336932"/>
            <a:gd name="csY0" fmla="*/ 1377202 h 13598134"/>
            <a:gd name="csX1" fmla="*/ 1211569 w 20336932"/>
            <a:gd name="csY1" fmla="*/ 0 h 13598134"/>
            <a:gd name="csX2" fmla="*/ 19054979 w 20336932"/>
            <a:gd name="csY2" fmla="*/ 95250 h 13598134"/>
            <a:gd name="csX3" fmla="*/ 20336932 w 20336932"/>
            <a:gd name="csY3" fmla="*/ 2059790 h 13598134"/>
            <a:gd name="csX4" fmla="*/ 20289303 w 20336932"/>
            <a:gd name="csY4" fmla="*/ 10973630 h 13598134"/>
            <a:gd name="csX5" fmla="*/ 18983540 w 20336932"/>
            <a:gd name="csY5" fmla="*/ 13525501 h 13598134"/>
            <a:gd name="csX6" fmla="*/ 1425882 w 20336932"/>
            <a:gd name="csY6" fmla="*/ 13596938 h 13598134"/>
            <a:gd name="csX7" fmla="*/ 1055 w 20336932"/>
            <a:gd name="csY7" fmla="*/ 12434049 h 13598134"/>
            <a:gd name="csX8" fmla="*/ 24868 w 20336932"/>
            <a:gd name="csY8" fmla="*/ 1377202 h 13598134"/>
            <a:gd name="csX0" fmla="*/ 24868 w 20336932"/>
            <a:gd name="csY0" fmla="*/ 1377202 h 13598134"/>
            <a:gd name="csX1" fmla="*/ 1211569 w 20336932"/>
            <a:gd name="csY1" fmla="*/ 0 h 13598134"/>
            <a:gd name="csX2" fmla="*/ 19054979 w 20336932"/>
            <a:gd name="csY2" fmla="*/ 95250 h 13598134"/>
            <a:gd name="csX3" fmla="*/ 20336932 w 20336932"/>
            <a:gd name="csY3" fmla="*/ 2059790 h 13598134"/>
            <a:gd name="csX4" fmla="*/ 20289303 w 20336932"/>
            <a:gd name="csY4" fmla="*/ 10973630 h 13598134"/>
            <a:gd name="csX5" fmla="*/ 19324132 w 20336932"/>
            <a:gd name="csY5" fmla="*/ 13348897 h 13598134"/>
            <a:gd name="csX6" fmla="*/ 1425882 w 20336932"/>
            <a:gd name="csY6" fmla="*/ 13596938 h 13598134"/>
            <a:gd name="csX7" fmla="*/ 1055 w 20336932"/>
            <a:gd name="csY7" fmla="*/ 12434049 h 13598134"/>
            <a:gd name="csX8" fmla="*/ 24868 w 20336932"/>
            <a:gd name="csY8" fmla="*/ 1377202 h 13598134"/>
            <a:gd name="csX0" fmla="*/ 24868 w 20336932"/>
            <a:gd name="csY0" fmla="*/ 1377202 h 13702093"/>
            <a:gd name="csX1" fmla="*/ 1211569 w 20336932"/>
            <a:gd name="csY1" fmla="*/ 0 h 13702093"/>
            <a:gd name="csX2" fmla="*/ 19054979 w 20336932"/>
            <a:gd name="csY2" fmla="*/ 95250 h 13702093"/>
            <a:gd name="csX3" fmla="*/ 20336932 w 20336932"/>
            <a:gd name="csY3" fmla="*/ 2059790 h 13702093"/>
            <a:gd name="csX4" fmla="*/ 20289303 w 20336932"/>
            <a:gd name="csY4" fmla="*/ 10973630 h 13702093"/>
            <a:gd name="csX5" fmla="*/ 19166935 w 20336932"/>
            <a:gd name="csY5" fmla="*/ 13702093 h 13702093"/>
            <a:gd name="csX6" fmla="*/ 1425882 w 20336932"/>
            <a:gd name="csY6" fmla="*/ 13596938 h 13702093"/>
            <a:gd name="csX7" fmla="*/ 1055 w 20336932"/>
            <a:gd name="csY7" fmla="*/ 12434049 h 13702093"/>
            <a:gd name="csX8" fmla="*/ 24868 w 20336932"/>
            <a:gd name="csY8" fmla="*/ 1377202 h 13702093"/>
            <a:gd name="csX0" fmla="*/ 24868 w 20394120"/>
            <a:gd name="csY0" fmla="*/ 1377202 h 13702093"/>
            <a:gd name="csX1" fmla="*/ 1211569 w 20394120"/>
            <a:gd name="csY1" fmla="*/ 0 h 13702093"/>
            <a:gd name="csX2" fmla="*/ 19054979 w 20394120"/>
            <a:gd name="csY2" fmla="*/ 95250 h 13702093"/>
            <a:gd name="csX3" fmla="*/ 20336932 w 20394120"/>
            <a:gd name="csY3" fmla="*/ 2059790 h 13702093"/>
            <a:gd name="csX4" fmla="*/ 20394101 w 20394120"/>
            <a:gd name="csY4" fmla="*/ 10973629 h 13702093"/>
            <a:gd name="csX5" fmla="*/ 19166935 w 20394120"/>
            <a:gd name="csY5" fmla="*/ 13702093 h 13702093"/>
            <a:gd name="csX6" fmla="*/ 1425882 w 20394120"/>
            <a:gd name="csY6" fmla="*/ 13596938 h 13702093"/>
            <a:gd name="csX7" fmla="*/ 1055 w 20394120"/>
            <a:gd name="csY7" fmla="*/ 12434049 h 13702093"/>
            <a:gd name="csX8" fmla="*/ 24868 w 20394120"/>
            <a:gd name="csY8" fmla="*/ 1377202 h 1370209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0394120" h="13702093">
              <a:moveTo>
                <a:pt x="24868" y="1377202"/>
              </a:moveTo>
              <a:cubicBezTo>
                <a:pt x="24868" y="129997"/>
                <a:pt x="-35636" y="0"/>
                <a:pt x="1211569" y="0"/>
              </a:cubicBezTo>
              <a:lnTo>
                <a:pt x="19054979" y="95250"/>
              </a:lnTo>
              <a:cubicBezTo>
                <a:pt x="20302184" y="95250"/>
                <a:pt x="20336932" y="812585"/>
                <a:pt x="20336932" y="2059790"/>
              </a:cubicBezTo>
              <a:lnTo>
                <a:pt x="20394101" y="10973629"/>
              </a:lnTo>
              <a:cubicBezTo>
                <a:pt x="20394101" y="12220834"/>
                <a:pt x="20414140" y="13702093"/>
                <a:pt x="19166935" y="13702093"/>
              </a:cubicBezTo>
              <a:lnTo>
                <a:pt x="1425882" y="13596938"/>
              </a:lnTo>
              <a:cubicBezTo>
                <a:pt x="178677" y="13596938"/>
                <a:pt x="1055" y="13681254"/>
                <a:pt x="1055" y="12434049"/>
              </a:cubicBezTo>
              <a:cubicBezTo>
                <a:pt x="-6882" y="9057996"/>
                <a:pt x="32805" y="4753255"/>
                <a:pt x="24868" y="1377202"/>
              </a:cubicBez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589281</xdr:colOff>
      <xdr:row>82</xdr:row>
      <xdr:rowOff>203200</xdr:rowOff>
    </xdr:from>
    <xdr:to>
      <xdr:col>29</xdr:col>
      <xdr:colOff>635000</xdr:colOff>
      <xdr:row>83</xdr:row>
      <xdr:rowOff>63500</xdr:rowOff>
    </xdr:to>
    <xdr:sp macro="" textlink="">
      <xdr:nvSpPr>
        <xdr:cNvPr id="27" name="TextBox 26">
          <a:extLst>
            <a:ext uri="{FF2B5EF4-FFF2-40B4-BE49-F238E27FC236}">
              <a16:creationId xmlns:a16="http://schemas.microsoft.com/office/drawing/2014/main" id="{8F7E59E5-4738-92BB-E999-BEF128A16404}"/>
            </a:ext>
          </a:extLst>
        </xdr:cNvPr>
        <xdr:cNvSpPr txBox="1"/>
      </xdr:nvSpPr>
      <xdr:spPr>
        <a:xfrm flipH="1">
          <a:off x="27106881" y="22072600"/>
          <a:ext cx="45719" cy="127000"/>
        </a:xfrm>
        <a:prstGeom prst="rect">
          <a:avLst/>
        </a:prstGeom>
        <a:solidFill>
          <a:schemeClr val="lt1"/>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800"/>
        </a:p>
      </xdr:txBody>
    </xdr:sp>
    <xdr:clientData/>
  </xdr:twoCellAnchor>
  <xdr:twoCellAnchor>
    <xdr:from>
      <xdr:col>2</xdr:col>
      <xdr:colOff>681566</xdr:colOff>
      <xdr:row>12</xdr:row>
      <xdr:rowOff>125266</xdr:rowOff>
    </xdr:from>
    <xdr:to>
      <xdr:col>6</xdr:col>
      <xdr:colOff>508000</xdr:colOff>
      <xdr:row>15</xdr:row>
      <xdr:rowOff>177801</xdr:rowOff>
    </xdr:to>
    <xdr:sp macro="" textlink="">
      <xdr:nvSpPr>
        <xdr:cNvPr id="28" name="TextBox 27">
          <a:extLst>
            <a:ext uri="{FF2B5EF4-FFF2-40B4-BE49-F238E27FC236}">
              <a16:creationId xmlns:a16="http://schemas.microsoft.com/office/drawing/2014/main" id="{7FAF4AEA-8D6D-A38B-602D-067C24A0921F}"/>
            </a:ext>
          </a:extLst>
        </xdr:cNvPr>
        <xdr:cNvSpPr txBox="1"/>
      </xdr:nvSpPr>
      <xdr:spPr>
        <a:xfrm>
          <a:off x="2523066" y="3173266"/>
          <a:ext cx="3509434" cy="814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500">
              <a:solidFill>
                <a:srgbClr val="C00000"/>
              </a:solidFill>
              <a:latin typeface="Segoe UI Semibold" panose="020B0702040204020203" pitchFamily="34" charset="0"/>
              <a:cs typeface="Segoe UI Semibold" panose="020B0702040204020203" pitchFamily="34" charset="0"/>
            </a:rPr>
            <a:t>Total</a:t>
          </a:r>
          <a:r>
            <a:rPr lang="en-IN" sz="4500">
              <a:solidFill>
                <a:srgbClr val="C00000"/>
              </a:solidFill>
              <a:latin typeface="Times New Roman" panose="02020603050405020304" pitchFamily="18" charset="0"/>
              <a:cs typeface="Times New Roman" panose="02020603050405020304" pitchFamily="18" charset="0"/>
            </a:rPr>
            <a:t> </a:t>
          </a:r>
          <a:r>
            <a:rPr lang="en-IN" sz="4500">
              <a:solidFill>
                <a:srgbClr val="C00000"/>
              </a:solidFill>
              <a:latin typeface="Segoe UI Semibold" panose="020B0702040204020203" pitchFamily="34" charset="0"/>
              <a:cs typeface="Segoe UI Semibold" panose="020B0702040204020203" pitchFamily="34" charset="0"/>
            </a:rPr>
            <a:t>Orders</a:t>
          </a:r>
        </a:p>
      </xdr:txBody>
    </xdr:sp>
    <xdr:clientData/>
  </xdr:twoCellAnchor>
  <xdr:twoCellAnchor>
    <xdr:from>
      <xdr:col>3</xdr:col>
      <xdr:colOff>841433</xdr:colOff>
      <xdr:row>16</xdr:row>
      <xdr:rowOff>138282</xdr:rowOff>
    </xdr:from>
    <xdr:to>
      <xdr:col>5</xdr:col>
      <xdr:colOff>762000</xdr:colOff>
      <xdr:row>19</xdr:row>
      <xdr:rowOff>164757</xdr:rowOff>
    </xdr:to>
    <xdr:sp macro="" textlink="Sheet1!A8">
      <xdr:nvSpPr>
        <xdr:cNvPr id="29" name="TextBox 28">
          <a:extLst>
            <a:ext uri="{FF2B5EF4-FFF2-40B4-BE49-F238E27FC236}">
              <a16:creationId xmlns:a16="http://schemas.microsoft.com/office/drawing/2014/main" id="{CDB1A315-80CC-5780-F1CA-B6B46347B314}"/>
            </a:ext>
          </a:extLst>
        </xdr:cNvPr>
        <xdr:cNvSpPr txBox="1"/>
      </xdr:nvSpPr>
      <xdr:spPr>
        <a:xfrm>
          <a:off x="3559919" y="4421958"/>
          <a:ext cx="1732892" cy="829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969EBE-8578-4CC3-8354-03BCCBD67AAB}" type="TxLink">
            <a:rPr lang="en-US" sz="5000" b="0" i="0" u="none" strike="noStrike">
              <a:solidFill>
                <a:schemeClr val="accent4">
                  <a:lumMod val="50000"/>
                </a:schemeClr>
              </a:solidFill>
              <a:latin typeface="Segoe UI Semibold"/>
              <a:cs typeface="Segoe UI Semibold"/>
            </a:rPr>
            <a:pPr algn="ctr"/>
            <a:t>349</a:t>
          </a:fld>
          <a:endParaRPr lang="en-IN" sz="5000">
            <a:solidFill>
              <a:schemeClr val="accent4">
                <a:lumMod val="50000"/>
              </a:schemeClr>
            </a:solidFill>
          </a:endParaRPr>
        </a:p>
      </xdr:txBody>
    </xdr:sp>
    <xdr:clientData/>
  </xdr:twoCellAnchor>
  <xdr:twoCellAnchor>
    <xdr:from>
      <xdr:col>18</xdr:col>
      <xdr:colOff>620889</xdr:colOff>
      <xdr:row>12</xdr:row>
      <xdr:rowOff>106416</xdr:rowOff>
    </xdr:from>
    <xdr:to>
      <xdr:col>22</xdr:col>
      <xdr:colOff>212651</xdr:colOff>
      <xdr:row>15</xdr:row>
      <xdr:rowOff>143521</xdr:rowOff>
    </xdr:to>
    <xdr:sp macro="" textlink="">
      <xdr:nvSpPr>
        <xdr:cNvPr id="30" name="TextBox 29">
          <a:extLst>
            <a:ext uri="{FF2B5EF4-FFF2-40B4-BE49-F238E27FC236}">
              <a16:creationId xmlns:a16="http://schemas.microsoft.com/office/drawing/2014/main" id="{084D361B-B965-4623-AF4A-B59282306733}"/>
            </a:ext>
          </a:extLst>
        </xdr:cNvPr>
        <xdr:cNvSpPr txBox="1"/>
      </xdr:nvSpPr>
      <xdr:spPr>
        <a:xfrm>
          <a:off x="17174682" y="3259519"/>
          <a:ext cx="3270383" cy="825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solidFill>
                <a:srgbClr val="C00000"/>
              </a:solidFill>
              <a:latin typeface="Segoe UI Semibold" panose="020B0702040204020203" pitchFamily="34" charset="0"/>
              <a:cs typeface="Segoe UI Semibold" panose="020B0702040204020203" pitchFamily="34" charset="0"/>
            </a:rPr>
            <a:t>Total</a:t>
          </a:r>
          <a:r>
            <a:rPr lang="en-IN" sz="4800">
              <a:solidFill>
                <a:srgbClr val="C00000"/>
              </a:solidFill>
              <a:latin typeface="Times New Roman" panose="02020603050405020304" pitchFamily="18" charset="0"/>
              <a:cs typeface="Times New Roman" panose="02020603050405020304" pitchFamily="18" charset="0"/>
            </a:rPr>
            <a:t> </a:t>
          </a:r>
          <a:r>
            <a:rPr lang="en-IN" sz="4800">
              <a:solidFill>
                <a:srgbClr val="C00000"/>
              </a:solidFill>
              <a:latin typeface="Segoe UI Semibold" panose="020B0702040204020203" pitchFamily="34" charset="0"/>
              <a:cs typeface="Segoe UI Semibold" panose="020B0702040204020203" pitchFamily="34" charset="0"/>
            </a:rPr>
            <a:t>Sales</a:t>
          </a:r>
        </a:p>
      </xdr:txBody>
    </xdr:sp>
    <xdr:clientData/>
  </xdr:twoCellAnchor>
  <xdr:twoCellAnchor>
    <xdr:from>
      <xdr:col>13</xdr:col>
      <xdr:colOff>366244</xdr:colOff>
      <xdr:row>12</xdr:row>
      <xdr:rowOff>147639</xdr:rowOff>
    </xdr:from>
    <xdr:to>
      <xdr:col>17</xdr:col>
      <xdr:colOff>89250</xdr:colOff>
      <xdr:row>15</xdr:row>
      <xdr:rowOff>217134</xdr:rowOff>
    </xdr:to>
    <xdr:sp macro="" textlink="">
      <xdr:nvSpPr>
        <xdr:cNvPr id="31" name="TextBox 30">
          <a:extLst>
            <a:ext uri="{FF2B5EF4-FFF2-40B4-BE49-F238E27FC236}">
              <a16:creationId xmlns:a16="http://schemas.microsoft.com/office/drawing/2014/main" id="{947D4958-C69D-4AEB-9D8A-AC6E8322D9C2}"/>
            </a:ext>
          </a:extLst>
        </xdr:cNvPr>
        <xdr:cNvSpPr txBox="1"/>
      </xdr:nvSpPr>
      <xdr:spPr>
        <a:xfrm>
          <a:off x="12321761" y="3300742"/>
          <a:ext cx="3401627" cy="857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500">
              <a:solidFill>
                <a:srgbClr val="C00000"/>
              </a:solidFill>
              <a:latin typeface="Segoe UI Semibold" panose="020B0702040204020203" pitchFamily="34" charset="0"/>
              <a:cs typeface="Segoe UI Semibold" panose="020B0702040204020203" pitchFamily="34" charset="0"/>
            </a:rPr>
            <a:t>Total</a:t>
          </a:r>
          <a:r>
            <a:rPr lang="en-IN" sz="4500">
              <a:solidFill>
                <a:srgbClr val="C00000"/>
              </a:solidFill>
              <a:latin typeface="Times New Roman" panose="02020603050405020304" pitchFamily="18" charset="0"/>
              <a:cs typeface="Times New Roman" panose="02020603050405020304" pitchFamily="18" charset="0"/>
            </a:rPr>
            <a:t> </a:t>
          </a:r>
          <a:r>
            <a:rPr lang="en-IN" sz="4500">
              <a:solidFill>
                <a:srgbClr val="C00000"/>
              </a:solidFill>
              <a:latin typeface="Segoe UI Semibold" panose="020B0702040204020203" pitchFamily="34" charset="0"/>
              <a:cs typeface="Segoe UI Semibold" panose="020B0702040204020203" pitchFamily="34" charset="0"/>
            </a:rPr>
            <a:t>Profit</a:t>
          </a:r>
        </a:p>
      </xdr:txBody>
    </xdr:sp>
    <xdr:clientData/>
  </xdr:twoCellAnchor>
  <xdr:twoCellAnchor>
    <xdr:from>
      <xdr:col>7</xdr:col>
      <xdr:colOff>787516</xdr:colOff>
      <xdr:row>12</xdr:row>
      <xdr:rowOff>144035</xdr:rowOff>
    </xdr:from>
    <xdr:to>
      <xdr:col>12</xdr:col>
      <xdr:colOff>132443</xdr:colOff>
      <xdr:row>15</xdr:row>
      <xdr:rowOff>177800</xdr:rowOff>
    </xdr:to>
    <xdr:sp macro="" textlink="">
      <xdr:nvSpPr>
        <xdr:cNvPr id="32" name="TextBox 31">
          <a:extLst>
            <a:ext uri="{FF2B5EF4-FFF2-40B4-BE49-F238E27FC236}">
              <a16:creationId xmlns:a16="http://schemas.microsoft.com/office/drawing/2014/main" id="{2A5B7F59-CBB7-48FC-BE58-8016083F7CA2}"/>
            </a:ext>
          </a:extLst>
        </xdr:cNvPr>
        <xdr:cNvSpPr txBox="1"/>
      </xdr:nvSpPr>
      <xdr:spPr>
        <a:xfrm>
          <a:off x="7188316" y="3192035"/>
          <a:ext cx="3916927" cy="79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solidFill>
                <a:srgbClr val="C00000"/>
              </a:solidFill>
              <a:latin typeface="Segoe UI Semibold" panose="020B0702040204020203" pitchFamily="34" charset="0"/>
              <a:cs typeface="Segoe UI Semibold" panose="020B0702040204020203" pitchFamily="34" charset="0"/>
            </a:rPr>
            <a:t>Total</a:t>
          </a:r>
          <a:r>
            <a:rPr lang="en-IN" sz="4400">
              <a:solidFill>
                <a:srgbClr val="C00000"/>
              </a:solidFill>
              <a:latin typeface="Times New Roman" panose="02020603050405020304" pitchFamily="18" charset="0"/>
              <a:cs typeface="Times New Roman" panose="02020603050405020304" pitchFamily="18" charset="0"/>
            </a:rPr>
            <a:t> </a:t>
          </a:r>
          <a:r>
            <a:rPr lang="en-IN" sz="4400">
              <a:solidFill>
                <a:srgbClr val="C00000"/>
              </a:solidFill>
              <a:latin typeface="Segoe UI Semibold" panose="020B0702040204020203" pitchFamily="34" charset="0"/>
              <a:cs typeface="Segoe UI Semibold" panose="020B0702040204020203" pitchFamily="34" charset="0"/>
            </a:rPr>
            <a:t>Revenue</a:t>
          </a:r>
        </a:p>
      </xdr:txBody>
    </xdr:sp>
    <xdr:clientData/>
  </xdr:twoCellAnchor>
  <xdr:twoCellAnchor>
    <xdr:from>
      <xdr:col>19</xdr:col>
      <xdr:colOff>808481</xdr:colOff>
      <xdr:row>16</xdr:row>
      <xdr:rowOff>84737</xdr:rowOff>
    </xdr:from>
    <xdr:to>
      <xdr:col>22</xdr:col>
      <xdr:colOff>-1</xdr:colOff>
      <xdr:row>19</xdr:row>
      <xdr:rowOff>111212</xdr:rowOff>
    </xdr:to>
    <xdr:sp macro="" textlink="Sheet1!D8">
      <xdr:nvSpPr>
        <xdr:cNvPr id="35" name="TextBox 34">
          <a:extLst>
            <a:ext uri="{FF2B5EF4-FFF2-40B4-BE49-F238E27FC236}">
              <a16:creationId xmlns:a16="http://schemas.microsoft.com/office/drawing/2014/main" id="{3B6C5118-D7EE-4B57-8855-55F3598C3B2F}"/>
            </a:ext>
          </a:extLst>
        </xdr:cNvPr>
        <xdr:cNvSpPr txBox="1"/>
      </xdr:nvSpPr>
      <xdr:spPr>
        <a:xfrm>
          <a:off x="18025562" y="4368413"/>
          <a:ext cx="1910005" cy="829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17C0F1-0876-43A5-98B7-30D6CF93653D}" type="TxLink">
            <a:rPr lang="en-US" sz="5000" b="0" i="0" u="none" strike="noStrike">
              <a:solidFill>
                <a:schemeClr val="accent4">
                  <a:lumMod val="50000"/>
                </a:schemeClr>
              </a:solidFill>
              <a:latin typeface="Segoe UI Semibold"/>
              <a:cs typeface="Segoe UI Semibold"/>
            </a:rPr>
            <a:pPr algn="ctr"/>
            <a:t>10778</a:t>
          </a:fld>
          <a:endParaRPr lang="en-IN" sz="5000">
            <a:solidFill>
              <a:schemeClr val="accent4">
                <a:lumMod val="50000"/>
              </a:schemeClr>
            </a:solidFill>
          </a:endParaRPr>
        </a:p>
      </xdr:txBody>
    </xdr:sp>
    <xdr:clientData/>
  </xdr:twoCellAnchor>
  <xdr:twoCellAnchor>
    <xdr:from>
      <xdr:col>14</xdr:col>
      <xdr:colOff>466611</xdr:colOff>
      <xdr:row>16</xdr:row>
      <xdr:rowOff>113569</xdr:rowOff>
    </xdr:from>
    <xdr:to>
      <xdr:col>16</xdr:col>
      <xdr:colOff>387178</xdr:colOff>
      <xdr:row>19</xdr:row>
      <xdr:rowOff>140044</xdr:rowOff>
    </xdr:to>
    <xdr:sp macro="" textlink="Sheet1!C8">
      <xdr:nvSpPr>
        <xdr:cNvPr id="36" name="TextBox 35">
          <a:extLst>
            <a:ext uri="{FF2B5EF4-FFF2-40B4-BE49-F238E27FC236}">
              <a16:creationId xmlns:a16="http://schemas.microsoft.com/office/drawing/2014/main" id="{517C9E9D-056A-4669-A7A7-09A27B6BABC2}"/>
            </a:ext>
          </a:extLst>
        </xdr:cNvPr>
        <xdr:cNvSpPr txBox="1"/>
      </xdr:nvSpPr>
      <xdr:spPr>
        <a:xfrm>
          <a:off x="13152881" y="4397245"/>
          <a:ext cx="1732892" cy="829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E9E642-7334-4D68-A6C9-381907F461B6}" type="TxLink">
            <a:rPr lang="en-US" sz="5000" b="0" i="0" u="none" strike="noStrike">
              <a:solidFill>
                <a:schemeClr val="accent4">
                  <a:lumMod val="50000"/>
                </a:schemeClr>
              </a:solidFill>
              <a:latin typeface="Segoe UI Semibold"/>
              <a:cs typeface="Segoe UI Semibold"/>
            </a:rPr>
            <a:pPr algn="ctr"/>
            <a:t>40k</a:t>
          </a:fld>
          <a:endParaRPr lang="en-IN" sz="5000">
            <a:solidFill>
              <a:schemeClr val="accent4">
                <a:lumMod val="50000"/>
              </a:schemeClr>
            </a:solidFill>
          </a:endParaRPr>
        </a:p>
      </xdr:txBody>
    </xdr:sp>
    <xdr:clientData/>
  </xdr:twoCellAnchor>
  <xdr:twoCellAnchor>
    <xdr:from>
      <xdr:col>9</xdr:col>
      <xdr:colOff>227715</xdr:colOff>
      <xdr:row>16</xdr:row>
      <xdr:rowOff>142401</xdr:rowOff>
    </xdr:from>
    <xdr:to>
      <xdr:col>11</xdr:col>
      <xdr:colOff>148282</xdr:colOff>
      <xdr:row>19</xdr:row>
      <xdr:rowOff>168876</xdr:rowOff>
    </xdr:to>
    <xdr:sp macro="" textlink="Sheet1!B8">
      <xdr:nvSpPr>
        <xdr:cNvPr id="37" name="TextBox 36">
          <a:extLst>
            <a:ext uri="{FF2B5EF4-FFF2-40B4-BE49-F238E27FC236}">
              <a16:creationId xmlns:a16="http://schemas.microsoft.com/office/drawing/2014/main" id="{89D76602-3D65-4269-99F5-7035A3CA8946}"/>
            </a:ext>
          </a:extLst>
        </xdr:cNvPr>
        <xdr:cNvSpPr txBox="1"/>
      </xdr:nvSpPr>
      <xdr:spPr>
        <a:xfrm>
          <a:off x="8383174" y="4426077"/>
          <a:ext cx="1732892" cy="829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49E53F-C901-40FF-81B5-DEC7EFCCE0A0}" type="TxLink">
            <a:rPr lang="en-US" sz="5000" b="0" i="0" u="none" strike="noStrike">
              <a:solidFill>
                <a:schemeClr val="accent4">
                  <a:lumMod val="50000"/>
                </a:schemeClr>
              </a:solidFill>
              <a:latin typeface="Segoe UI Semibold"/>
              <a:cs typeface="Segoe UI Semibold"/>
            </a:rPr>
            <a:pPr algn="ctr"/>
            <a:t>787k</a:t>
          </a:fld>
          <a:endParaRPr lang="en-IN" sz="5000">
            <a:solidFill>
              <a:schemeClr val="accent4">
                <a:lumMod val="50000"/>
              </a:schemeClr>
            </a:solidFill>
          </a:endParaRPr>
        </a:p>
      </xdr:txBody>
    </xdr:sp>
    <xdr:clientData/>
  </xdr:twoCellAnchor>
  <xdr:twoCellAnchor editAs="oneCell">
    <xdr:from>
      <xdr:col>17</xdr:col>
      <xdr:colOff>191708</xdr:colOff>
      <xdr:row>12</xdr:row>
      <xdr:rowOff>251869</xdr:rowOff>
    </xdr:from>
    <xdr:to>
      <xdr:col>17</xdr:col>
      <xdr:colOff>735418</xdr:colOff>
      <xdr:row>15</xdr:row>
      <xdr:rowOff>55065</xdr:rowOff>
    </xdr:to>
    <xdr:pic>
      <xdr:nvPicPr>
        <xdr:cNvPr id="38" name="Picture 37">
          <a:extLst>
            <a:ext uri="{FF2B5EF4-FFF2-40B4-BE49-F238E27FC236}">
              <a16:creationId xmlns:a16="http://schemas.microsoft.com/office/drawing/2014/main" id="{12BDF906-2A17-FFAA-427D-31E04F68A502}"/>
            </a:ext>
          </a:extLst>
        </xdr:cNvPr>
        <xdr:cNvPicPr>
          <a:picLocks noChangeAspect="1"/>
        </xdr:cNvPicPr>
      </xdr:nvPicPr>
      <xdr:blipFill>
        <a:blip xmlns:r="http://schemas.openxmlformats.org/officeDocument/2006/relationships" r:embed="rId1"/>
        <a:stretch>
          <a:fillRect/>
        </a:stretch>
      </xdr:blipFill>
      <xdr:spPr>
        <a:xfrm>
          <a:off x="15825846" y="3404972"/>
          <a:ext cx="543710" cy="591472"/>
        </a:xfrm>
        <a:prstGeom prst="rect">
          <a:avLst/>
        </a:prstGeom>
      </xdr:spPr>
    </xdr:pic>
    <xdr:clientData/>
  </xdr:twoCellAnchor>
  <xdr:twoCellAnchor editAs="oneCell">
    <xdr:from>
      <xdr:col>11</xdr:col>
      <xdr:colOff>841174</xdr:colOff>
      <xdr:row>13</xdr:row>
      <xdr:rowOff>0</xdr:rowOff>
    </xdr:from>
    <xdr:to>
      <xdr:col>12</xdr:col>
      <xdr:colOff>646205</xdr:colOff>
      <xdr:row>15</xdr:row>
      <xdr:rowOff>102785</xdr:rowOff>
    </xdr:to>
    <xdr:pic>
      <xdr:nvPicPr>
        <xdr:cNvPr id="40" name="Picture 39">
          <a:extLst>
            <a:ext uri="{FF2B5EF4-FFF2-40B4-BE49-F238E27FC236}">
              <a16:creationId xmlns:a16="http://schemas.microsoft.com/office/drawing/2014/main" id="{C9C688FA-1FDC-CC35-0501-8D3D2CCFDEF8}"/>
            </a:ext>
          </a:extLst>
        </xdr:cNvPr>
        <xdr:cNvPicPr>
          <a:picLocks noChangeAspect="1"/>
        </xdr:cNvPicPr>
      </xdr:nvPicPr>
      <xdr:blipFill>
        <a:blip xmlns:r="http://schemas.openxmlformats.org/officeDocument/2006/relationships" r:embed="rId2"/>
        <a:stretch>
          <a:fillRect/>
        </a:stretch>
      </xdr:blipFill>
      <xdr:spPr>
        <a:xfrm>
          <a:off x="10977546" y="3455581"/>
          <a:ext cx="726519" cy="634413"/>
        </a:xfrm>
        <a:prstGeom prst="rect">
          <a:avLst/>
        </a:prstGeom>
      </xdr:spPr>
    </xdr:pic>
    <xdr:clientData/>
  </xdr:twoCellAnchor>
  <xdr:twoCellAnchor editAs="oneCell">
    <xdr:from>
      <xdr:col>6</xdr:col>
      <xdr:colOff>584792</xdr:colOff>
      <xdr:row>12</xdr:row>
      <xdr:rowOff>230373</xdr:rowOff>
    </xdr:from>
    <xdr:to>
      <xdr:col>7</xdr:col>
      <xdr:colOff>354419</xdr:colOff>
      <xdr:row>15</xdr:row>
      <xdr:rowOff>167544</xdr:rowOff>
    </xdr:to>
    <xdr:pic>
      <xdr:nvPicPr>
        <xdr:cNvPr id="42" name="Picture 41">
          <a:extLst>
            <a:ext uri="{FF2B5EF4-FFF2-40B4-BE49-F238E27FC236}">
              <a16:creationId xmlns:a16="http://schemas.microsoft.com/office/drawing/2014/main" id="{5E5D0604-2FC0-559B-FA85-7956BD5515AB}"/>
            </a:ext>
          </a:extLst>
        </xdr:cNvPr>
        <xdr:cNvPicPr>
          <a:picLocks noChangeAspect="1"/>
        </xdr:cNvPicPr>
      </xdr:nvPicPr>
      <xdr:blipFill>
        <a:blip xmlns:r="http://schemas.openxmlformats.org/officeDocument/2006/relationships" r:embed="rId3"/>
        <a:stretch>
          <a:fillRect/>
        </a:stretch>
      </xdr:blipFill>
      <xdr:spPr>
        <a:xfrm>
          <a:off x="6113722" y="3420140"/>
          <a:ext cx="691116" cy="734613"/>
        </a:xfrm>
        <a:prstGeom prst="rect">
          <a:avLst/>
        </a:prstGeom>
      </xdr:spPr>
    </xdr:pic>
    <xdr:clientData/>
  </xdr:twoCellAnchor>
  <xdr:twoCellAnchor editAs="oneCell">
    <xdr:from>
      <xdr:col>22</xdr:col>
      <xdr:colOff>301255</xdr:colOff>
      <xdr:row>12</xdr:row>
      <xdr:rowOff>245649</xdr:rowOff>
    </xdr:from>
    <xdr:to>
      <xdr:col>23</xdr:col>
      <xdr:colOff>230371</xdr:colOff>
      <xdr:row>15</xdr:row>
      <xdr:rowOff>218924</xdr:rowOff>
    </xdr:to>
    <xdr:pic>
      <xdr:nvPicPr>
        <xdr:cNvPr id="43" name="Picture 42">
          <a:extLst>
            <a:ext uri="{FF2B5EF4-FFF2-40B4-BE49-F238E27FC236}">
              <a16:creationId xmlns:a16="http://schemas.microsoft.com/office/drawing/2014/main" id="{C38E78A1-94DD-A17A-3CB7-40061D9D0E0E}"/>
            </a:ext>
          </a:extLst>
        </xdr:cNvPr>
        <xdr:cNvPicPr>
          <a:picLocks noChangeAspect="1"/>
        </xdr:cNvPicPr>
      </xdr:nvPicPr>
      <xdr:blipFill>
        <a:blip xmlns:r="http://schemas.openxmlformats.org/officeDocument/2006/relationships" r:embed="rId4"/>
        <a:stretch>
          <a:fillRect/>
        </a:stretch>
      </xdr:blipFill>
      <xdr:spPr>
        <a:xfrm>
          <a:off x="20533669" y="3398752"/>
          <a:ext cx="848771" cy="761551"/>
        </a:xfrm>
        <a:prstGeom prst="rect">
          <a:avLst/>
        </a:prstGeom>
      </xdr:spPr>
    </xdr:pic>
    <xdr:clientData/>
  </xdr:twoCellAnchor>
  <xdr:twoCellAnchor>
    <xdr:from>
      <xdr:col>4</xdr:col>
      <xdr:colOff>594729</xdr:colOff>
      <xdr:row>4</xdr:row>
      <xdr:rowOff>71741</xdr:rowOff>
    </xdr:from>
    <xdr:to>
      <xdr:col>23</xdr:col>
      <xdr:colOff>538971</xdr:colOff>
      <xdr:row>10</xdr:row>
      <xdr:rowOff>40375</xdr:rowOff>
    </xdr:to>
    <xdr:sp macro="" textlink="">
      <xdr:nvSpPr>
        <xdr:cNvPr id="44" name="TextBox 43">
          <a:extLst>
            <a:ext uri="{FF2B5EF4-FFF2-40B4-BE49-F238E27FC236}">
              <a16:creationId xmlns:a16="http://schemas.microsoft.com/office/drawing/2014/main" id="{7E21AD59-834D-F0AF-D669-110FFA7A3007}"/>
            </a:ext>
          </a:extLst>
        </xdr:cNvPr>
        <xdr:cNvSpPr txBox="1"/>
      </xdr:nvSpPr>
      <xdr:spPr>
        <a:xfrm>
          <a:off x="4273350" y="1122775"/>
          <a:ext cx="17417690" cy="1545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0" b="1">
              <a:solidFill>
                <a:schemeClr val="accent4">
                  <a:lumMod val="50000"/>
                </a:schemeClr>
              </a:solidFill>
            </a:rPr>
            <a:t>SALES</a:t>
          </a:r>
          <a:r>
            <a:rPr lang="en-IN" sz="10000" b="1" baseline="0">
              <a:solidFill>
                <a:schemeClr val="accent4">
                  <a:lumMod val="50000"/>
                </a:schemeClr>
              </a:solidFill>
            </a:rPr>
            <a:t> ANALYITICS DASHBOARD	</a:t>
          </a:r>
          <a:endParaRPr lang="en-IN" sz="10000" b="1">
            <a:solidFill>
              <a:schemeClr val="accent4">
                <a:lumMod val="50000"/>
              </a:schemeClr>
            </a:solidFill>
          </a:endParaRPr>
        </a:p>
      </xdr:txBody>
    </xdr:sp>
    <xdr:clientData/>
  </xdr:twoCellAnchor>
  <xdr:twoCellAnchor>
    <xdr:from>
      <xdr:col>3</xdr:col>
      <xdr:colOff>283310</xdr:colOff>
      <xdr:row>6</xdr:row>
      <xdr:rowOff>214925</xdr:rowOff>
    </xdr:from>
    <xdr:to>
      <xdr:col>4</xdr:col>
      <xdr:colOff>635000</xdr:colOff>
      <xdr:row>9</xdr:row>
      <xdr:rowOff>19539</xdr:rowOff>
    </xdr:to>
    <xdr:sp macro="" textlink="">
      <xdr:nvSpPr>
        <xdr:cNvPr id="47" name="TextBox 46">
          <a:extLst>
            <a:ext uri="{FF2B5EF4-FFF2-40B4-BE49-F238E27FC236}">
              <a16:creationId xmlns:a16="http://schemas.microsoft.com/office/drawing/2014/main" id="{1F61552A-696F-3A7B-7358-CCE7937F325A}"/>
            </a:ext>
          </a:extLst>
        </xdr:cNvPr>
        <xdr:cNvSpPr txBox="1"/>
      </xdr:nvSpPr>
      <xdr:spPr>
        <a:xfrm>
          <a:off x="3038233" y="1797540"/>
          <a:ext cx="1269998" cy="595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SALES</a:t>
          </a:r>
        </a:p>
      </xdr:txBody>
    </xdr:sp>
    <xdr:clientData/>
  </xdr:twoCellAnchor>
  <xdr:twoCellAnchor editAs="oneCell">
    <xdr:from>
      <xdr:col>2</xdr:col>
      <xdr:colOff>525517</xdr:colOff>
      <xdr:row>4</xdr:row>
      <xdr:rowOff>78828</xdr:rowOff>
    </xdr:from>
    <xdr:to>
      <xdr:col>4</xdr:col>
      <xdr:colOff>315309</xdr:colOff>
      <xdr:row>10</xdr:row>
      <xdr:rowOff>118242</xdr:rowOff>
    </xdr:to>
    <xdr:pic>
      <xdr:nvPicPr>
        <xdr:cNvPr id="48" name="Picture 47">
          <a:extLst>
            <a:ext uri="{FF2B5EF4-FFF2-40B4-BE49-F238E27FC236}">
              <a16:creationId xmlns:a16="http://schemas.microsoft.com/office/drawing/2014/main" id="{DE61143D-4E0E-0C51-BE3E-4E1DEB57178A}"/>
            </a:ext>
          </a:extLst>
        </xdr:cNvPr>
        <xdr:cNvPicPr>
          <a:picLocks noChangeAspect="1"/>
        </xdr:cNvPicPr>
      </xdr:nvPicPr>
      <xdr:blipFill>
        <a:blip xmlns:r="http://schemas.openxmlformats.org/officeDocument/2006/relationships" r:embed="rId5"/>
        <a:stretch>
          <a:fillRect/>
        </a:stretch>
      </xdr:blipFill>
      <xdr:spPr>
        <a:xfrm>
          <a:off x="2364827" y="1129862"/>
          <a:ext cx="1629103" cy="16159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396370</xdr:colOff>
      <xdr:row>1</xdr:row>
      <xdr:rowOff>110517</xdr:rowOff>
    </xdr:from>
    <xdr:to>
      <xdr:col>7</xdr:col>
      <xdr:colOff>419272</xdr:colOff>
      <xdr:row>12</xdr:row>
      <xdr:rowOff>40113</xdr:rowOff>
    </xdr:to>
    <xdr:graphicFrame macro="">
      <xdr:nvGraphicFramePr>
        <xdr:cNvPr id="2" name="Chart 1">
          <a:extLst>
            <a:ext uri="{FF2B5EF4-FFF2-40B4-BE49-F238E27FC236}">
              <a16:creationId xmlns:a16="http://schemas.microsoft.com/office/drawing/2014/main" id="{FDEDFE23-A7DE-936D-1419-3384B6F6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466766</xdr:colOff>
      <xdr:row>10</xdr:row>
      <xdr:rowOff>108858</xdr:rowOff>
    </xdr:from>
    <xdr:to>
      <xdr:col>6</xdr:col>
      <xdr:colOff>843643</xdr:colOff>
      <xdr:row>24</xdr:row>
      <xdr:rowOff>104874</xdr:rowOff>
    </xdr:to>
    <xdr:graphicFrame macro="">
      <xdr:nvGraphicFramePr>
        <xdr:cNvPr id="2" name="Chart 1">
          <a:extLst>
            <a:ext uri="{FF2B5EF4-FFF2-40B4-BE49-F238E27FC236}">
              <a16:creationId xmlns:a16="http://schemas.microsoft.com/office/drawing/2014/main" id="{DAD10BB6-3699-CDE6-0A9D-217DF14DE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300990</xdr:colOff>
      <xdr:row>3</xdr:row>
      <xdr:rowOff>144780</xdr:rowOff>
    </xdr:from>
    <xdr:to>
      <xdr:col>8</xdr:col>
      <xdr:colOff>300990</xdr:colOff>
      <xdr:row>14</xdr:row>
      <xdr:rowOff>38100</xdr:rowOff>
    </xdr:to>
    <xdr:graphicFrame macro="">
      <xdr:nvGraphicFramePr>
        <xdr:cNvPr id="2" name="Chart 1">
          <a:extLst>
            <a:ext uri="{FF2B5EF4-FFF2-40B4-BE49-F238E27FC236}">
              <a16:creationId xmlns:a16="http://schemas.microsoft.com/office/drawing/2014/main" id="{7493E7C8-3354-8903-05E1-1ACB3FDEF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241306</xdr:colOff>
      <xdr:row>2</xdr:row>
      <xdr:rowOff>22860</xdr:rowOff>
    </xdr:from>
    <xdr:to>
      <xdr:col>7</xdr:col>
      <xdr:colOff>233686</xdr:colOff>
      <xdr:row>12</xdr:row>
      <xdr:rowOff>170180</xdr:rowOff>
    </xdr:to>
    <xdr:graphicFrame macro="">
      <xdr:nvGraphicFramePr>
        <xdr:cNvPr id="2" name="Chart 1">
          <a:extLst>
            <a:ext uri="{FF2B5EF4-FFF2-40B4-BE49-F238E27FC236}">
              <a16:creationId xmlns:a16="http://schemas.microsoft.com/office/drawing/2014/main" id="{19B92801-569A-AFB9-1A62-B20AE60B8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609601</xdr:colOff>
      <xdr:row>3</xdr:row>
      <xdr:rowOff>232209</xdr:rowOff>
    </xdr:from>
    <xdr:to>
      <xdr:col>8</xdr:col>
      <xdr:colOff>608397</xdr:colOff>
      <xdr:row>14</xdr:row>
      <xdr:rowOff>125529</xdr:rowOff>
    </xdr:to>
    <xdr:graphicFrame macro="">
      <xdr:nvGraphicFramePr>
        <xdr:cNvPr id="2" name="Chart 1">
          <a:extLst>
            <a:ext uri="{FF2B5EF4-FFF2-40B4-BE49-F238E27FC236}">
              <a16:creationId xmlns:a16="http://schemas.microsoft.com/office/drawing/2014/main" id="{17BFE7A8-31EA-D785-0AC9-D675315E4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827011</xdr:colOff>
      <xdr:row>2</xdr:row>
      <xdr:rowOff>205881</xdr:rowOff>
    </xdr:from>
    <xdr:to>
      <xdr:col>9</xdr:col>
      <xdr:colOff>816571</xdr:colOff>
      <xdr:row>27</xdr:row>
      <xdr:rowOff>175054</xdr:rowOff>
    </xdr:to>
    <xdr:grpSp>
      <xdr:nvGrpSpPr>
        <xdr:cNvPr id="8" name="Group 7">
          <a:extLst>
            <a:ext uri="{FF2B5EF4-FFF2-40B4-BE49-F238E27FC236}">
              <a16:creationId xmlns:a16="http://schemas.microsoft.com/office/drawing/2014/main" id="{53277D35-9AF1-046D-2366-3329CC6F5F20}"/>
            </a:ext>
          </a:extLst>
        </xdr:cNvPr>
        <xdr:cNvGrpSpPr/>
      </xdr:nvGrpSpPr>
      <xdr:grpSpPr>
        <a:xfrm>
          <a:off x="827011" y="731398"/>
          <a:ext cx="8266457" cy="6538139"/>
          <a:chOff x="814195" y="708464"/>
          <a:chExt cx="8256738" cy="4980438"/>
        </a:xfrm>
        <a:solidFill>
          <a:schemeClr val="bg2">
            <a:lumMod val="75000"/>
          </a:schemeClr>
        </a:solidFill>
      </xdr:grpSpPr>
      <xdr:grpSp>
        <xdr:nvGrpSpPr>
          <xdr:cNvPr id="7" name="Group 6">
            <a:extLst>
              <a:ext uri="{FF2B5EF4-FFF2-40B4-BE49-F238E27FC236}">
                <a16:creationId xmlns:a16="http://schemas.microsoft.com/office/drawing/2014/main" id="{D5DA7BE9-007A-2747-FC0B-9BA448713ED5}"/>
              </a:ext>
            </a:extLst>
          </xdr:cNvPr>
          <xdr:cNvGrpSpPr/>
        </xdr:nvGrpSpPr>
        <xdr:grpSpPr>
          <a:xfrm>
            <a:off x="814195" y="708464"/>
            <a:ext cx="8256738" cy="4980438"/>
            <a:chOff x="824633" y="645834"/>
            <a:chExt cx="8256738" cy="4980438"/>
          </a:xfrm>
          <a:grpFill/>
        </xdr:grpSpPr>
        <xdr:sp macro="" textlink="">
          <xdr:nvSpPr>
            <xdr:cNvPr id="2" name="Rectangle 1">
              <a:extLst>
                <a:ext uri="{FF2B5EF4-FFF2-40B4-BE49-F238E27FC236}">
                  <a16:creationId xmlns:a16="http://schemas.microsoft.com/office/drawing/2014/main" id="{1F643DAE-A4AB-11F5-29FF-7285F3FC5E87}"/>
                </a:ext>
              </a:extLst>
            </xdr:cNvPr>
            <xdr:cNvSpPr/>
          </xdr:nvSpPr>
          <xdr:spPr>
            <a:xfrm>
              <a:off x="824633" y="1221285"/>
              <a:ext cx="8256737" cy="4404987"/>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7E90E800-9CDF-998F-9926-3E9763B32E50}"/>
                </a:ext>
              </a:extLst>
            </xdr:cNvPr>
            <xdr:cNvSpPr/>
          </xdr:nvSpPr>
          <xdr:spPr>
            <a:xfrm>
              <a:off x="835069" y="645834"/>
              <a:ext cx="8246302" cy="5592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baseline="0">
                  <a:latin typeface="Algerian" panose="04020705040A02060702" pitchFamily="82" charset="0"/>
                </a:rPr>
                <a:t>        </a:t>
              </a:r>
              <a:r>
                <a:rPr lang="en-IN" sz="3600" b="1">
                  <a:latin typeface="Algerian" panose="04020705040A02060702" pitchFamily="82" charset="0"/>
                </a:rPr>
                <a:t>SALES</a:t>
              </a:r>
              <a:r>
                <a:rPr lang="en-IN" sz="3600" b="1" baseline="0">
                  <a:latin typeface="Algerian" panose="04020705040A02060702" pitchFamily="82" charset="0"/>
                </a:rPr>
                <a:t> DASHBOARD 2025 - 2026</a:t>
              </a:r>
              <a:endParaRPr lang="en-IN" sz="3600" b="1">
                <a:latin typeface="Algerian" panose="04020705040A02060702" pitchFamily="82" charset="0"/>
              </a:endParaRPr>
            </a:p>
          </xdr:txBody>
        </xdr:sp>
      </xdr:grpSp>
      <xdr:pic>
        <xdr:nvPicPr>
          <xdr:cNvPr id="6" name="Graphic 5" descr="Cabin with solid fill">
            <a:hlinkClick xmlns:r="http://schemas.openxmlformats.org/officeDocument/2006/relationships" r:id="rId1"/>
            <a:extLst>
              <a:ext uri="{FF2B5EF4-FFF2-40B4-BE49-F238E27FC236}">
                <a16:creationId xmlns:a16="http://schemas.microsoft.com/office/drawing/2014/main" id="{B534F8A2-8D89-9E58-4FC0-0F77DAE60A1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55945" y="708700"/>
            <a:ext cx="845507" cy="644108"/>
          </a:xfrm>
          <a:prstGeom prst="rect">
            <a:avLst/>
          </a:prstGeom>
        </xdr:spPr>
      </xdr:pic>
    </xdr:grpSp>
    <xdr:clientData/>
  </xdr:twoCellAnchor>
  <xdr:twoCellAnchor>
    <xdr:from>
      <xdr:col>0</xdr:col>
      <xdr:colOff>881867</xdr:colOff>
      <xdr:row>5</xdr:row>
      <xdr:rowOff>223642</xdr:rowOff>
    </xdr:from>
    <xdr:to>
      <xdr:col>3</xdr:col>
      <xdr:colOff>91012</xdr:colOff>
      <xdr:row>9</xdr:row>
      <xdr:rowOff>92043</xdr:rowOff>
    </xdr:to>
    <xdr:grpSp>
      <xdr:nvGrpSpPr>
        <xdr:cNvPr id="11" name="Group 10">
          <a:extLst>
            <a:ext uri="{FF2B5EF4-FFF2-40B4-BE49-F238E27FC236}">
              <a16:creationId xmlns:a16="http://schemas.microsoft.com/office/drawing/2014/main" id="{D0A205BD-6933-C537-E50A-F55186591982}"/>
            </a:ext>
          </a:extLst>
        </xdr:cNvPr>
        <xdr:cNvGrpSpPr/>
      </xdr:nvGrpSpPr>
      <xdr:grpSpPr>
        <a:xfrm>
          <a:off x="881867" y="1537435"/>
          <a:ext cx="1968111" cy="919436"/>
          <a:chOff x="1127342" y="1482247"/>
          <a:chExt cx="2056357" cy="1033397"/>
        </a:xfrm>
        <a:solidFill>
          <a:schemeClr val="bg2">
            <a:lumMod val="75000"/>
          </a:schemeClr>
        </a:solidFill>
      </xdr:grpSpPr>
      <xdr:sp macro="" textlink="">
        <xdr:nvSpPr>
          <xdr:cNvPr id="9" name="Rectangle 8">
            <a:extLst>
              <a:ext uri="{FF2B5EF4-FFF2-40B4-BE49-F238E27FC236}">
                <a16:creationId xmlns:a16="http://schemas.microsoft.com/office/drawing/2014/main" id="{CEC3CECA-1104-C792-0C52-BAA5CF11234D}"/>
              </a:ext>
            </a:extLst>
          </xdr:cNvPr>
          <xdr:cNvSpPr/>
        </xdr:nvSpPr>
        <xdr:spPr>
          <a:xfrm>
            <a:off x="1127342" y="1482247"/>
            <a:ext cx="2056357" cy="1033397"/>
          </a:xfrm>
          <a:prstGeom prst="rect">
            <a:avLst/>
          </a:prstGeom>
          <a:grp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2400"/>
              <a:t>TOTAL</a:t>
            </a:r>
            <a:r>
              <a:rPr lang="en-IN" sz="2400" baseline="0"/>
              <a:t> SALES</a:t>
            </a:r>
            <a:endParaRPr lang="en-IN" sz="2400"/>
          </a:p>
        </xdr:txBody>
      </xdr:sp>
      <xdr:sp macro="" textlink="Sheet9!A8">
        <xdr:nvSpPr>
          <xdr:cNvPr id="10" name="Rectangle 9">
            <a:extLst>
              <a:ext uri="{FF2B5EF4-FFF2-40B4-BE49-F238E27FC236}">
                <a16:creationId xmlns:a16="http://schemas.microsoft.com/office/drawing/2014/main" id="{AFCD9406-F5B6-7C37-E557-99FB0D8B04F1}"/>
              </a:ext>
            </a:extLst>
          </xdr:cNvPr>
          <xdr:cNvSpPr/>
        </xdr:nvSpPr>
        <xdr:spPr>
          <a:xfrm>
            <a:off x="1419614" y="1951973"/>
            <a:ext cx="1440493" cy="50104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CCEC60E-01BB-4335-B4BB-86E8D42B62A9}" type="TxLink">
              <a:rPr lang="en-US" sz="2000" b="0" i="0" u="none" strike="noStrike">
                <a:solidFill>
                  <a:srgbClr val="000000"/>
                </a:solidFill>
                <a:latin typeface="Segoe UI Semibold"/>
                <a:cs typeface="Segoe UI Semibold"/>
              </a:rPr>
              <a:pPr algn="ctr"/>
              <a:t>787k</a:t>
            </a:fld>
            <a:endParaRPr lang="en-IN" sz="2000"/>
          </a:p>
        </xdr:txBody>
      </xdr:sp>
    </xdr:grpSp>
    <xdr:clientData/>
  </xdr:twoCellAnchor>
  <xdr:twoCellAnchor>
    <xdr:from>
      <xdr:col>3</xdr:col>
      <xdr:colOff>139032</xdr:colOff>
      <xdr:row>5</xdr:row>
      <xdr:rowOff>226095</xdr:rowOff>
    </xdr:from>
    <xdr:to>
      <xdr:col>5</xdr:col>
      <xdr:colOff>264289</xdr:colOff>
      <xdr:row>9</xdr:row>
      <xdr:rowOff>88233</xdr:rowOff>
    </xdr:to>
    <xdr:grpSp>
      <xdr:nvGrpSpPr>
        <xdr:cNvPr id="30" name="Group 29">
          <a:extLst>
            <a:ext uri="{FF2B5EF4-FFF2-40B4-BE49-F238E27FC236}">
              <a16:creationId xmlns:a16="http://schemas.microsoft.com/office/drawing/2014/main" id="{C355F80F-DF98-485F-BA61-7222FC91C90F}"/>
            </a:ext>
          </a:extLst>
        </xdr:cNvPr>
        <xdr:cNvGrpSpPr/>
      </xdr:nvGrpSpPr>
      <xdr:grpSpPr>
        <a:xfrm>
          <a:off x="2897998" y="1539888"/>
          <a:ext cx="1964567" cy="913173"/>
          <a:chOff x="1127342" y="1482247"/>
          <a:chExt cx="2056357" cy="1033397"/>
        </a:xfrm>
        <a:solidFill>
          <a:schemeClr val="bg2">
            <a:lumMod val="75000"/>
          </a:schemeClr>
        </a:solidFill>
      </xdr:grpSpPr>
      <xdr:sp macro="" textlink="">
        <xdr:nvSpPr>
          <xdr:cNvPr id="31" name="Rectangle 30">
            <a:extLst>
              <a:ext uri="{FF2B5EF4-FFF2-40B4-BE49-F238E27FC236}">
                <a16:creationId xmlns:a16="http://schemas.microsoft.com/office/drawing/2014/main" id="{0E18BF2D-20D5-B32F-0130-6846FF9CAF33}"/>
              </a:ext>
            </a:extLst>
          </xdr:cNvPr>
          <xdr:cNvSpPr/>
        </xdr:nvSpPr>
        <xdr:spPr>
          <a:xfrm>
            <a:off x="1127342" y="1482247"/>
            <a:ext cx="2056357" cy="1033397"/>
          </a:xfrm>
          <a:prstGeom prst="rect">
            <a:avLst/>
          </a:prstGeom>
          <a:grp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2400"/>
              <a:t>TOTAL</a:t>
            </a:r>
            <a:r>
              <a:rPr lang="en-IN" sz="2400" baseline="0"/>
              <a:t> PROFIT</a:t>
            </a:r>
            <a:endParaRPr lang="en-IN" sz="2400"/>
          </a:p>
        </xdr:txBody>
      </xdr:sp>
      <xdr:sp macro="" textlink="Sheet9!B8">
        <xdr:nvSpPr>
          <xdr:cNvPr id="32" name="Rectangle 31">
            <a:extLst>
              <a:ext uri="{FF2B5EF4-FFF2-40B4-BE49-F238E27FC236}">
                <a16:creationId xmlns:a16="http://schemas.microsoft.com/office/drawing/2014/main" id="{EAF6BA12-80AF-84CC-1C24-8CE48BE6C577}"/>
              </a:ext>
            </a:extLst>
          </xdr:cNvPr>
          <xdr:cNvSpPr/>
        </xdr:nvSpPr>
        <xdr:spPr>
          <a:xfrm>
            <a:off x="1419614" y="1951973"/>
            <a:ext cx="1440493" cy="50104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64DD23A-2699-4862-8310-291CD7A4B3C7}" type="TxLink">
              <a:rPr lang="en-US" sz="2000" b="0" i="0" u="none" strike="noStrike">
                <a:solidFill>
                  <a:srgbClr val="000000"/>
                </a:solidFill>
                <a:latin typeface="Segoe UI Semibold"/>
                <a:cs typeface="Segoe UI Semibold"/>
              </a:rPr>
              <a:pPr algn="ctr"/>
              <a:t>40k</a:t>
            </a:fld>
            <a:endParaRPr lang="en-IN" sz="2000"/>
          </a:p>
        </xdr:txBody>
      </xdr:sp>
    </xdr:grpSp>
    <xdr:clientData/>
  </xdr:twoCellAnchor>
  <xdr:twoCellAnchor>
    <xdr:from>
      <xdr:col>5</xdr:col>
      <xdr:colOff>322747</xdr:colOff>
      <xdr:row>5</xdr:row>
      <xdr:rowOff>221240</xdr:rowOff>
    </xdr:from>
    <xdr:to>
      <xdr:col>7</xdr:col>
      <xdr:colOff>581616</xdr:colOff>
      <xdr:row>9</xdr:row>
      <xdr:rowOff>87552</xdr:rowOff>
    </xdr:to>
    <xdr:grpSp>
      <xdr:nvGrpSpPr>
        <xdr:cNvPr id="33" name="Group 32">
          <a:extLst>
            <a:ext uri="{FF2B5EF4-FFF2-40B4-BE49-F238E27FC236}">
              <a16:creationId xmlns:a16="http://schemas.microsoft.com/office/drawing/2014/main" id="{19BE8206-9DA5-4EDF-809A-B70CEEEF15E0}"/>
            </a:ext>
          </a:extLst>
        </xdr:cNvPr>
        <xdr:cNvGrpSpPr/>
      </xdr:nvGrpSpPr>
      <xdr:grpSpPr>
        <a:xfrm>
          <a:off x="4921023" y="1535033"/>
          <a:ext cx="2098179" cy="917347"/>
          <a:chOff x="1127342" y="1482247"/>
          <a:chExt cx="2056357" cy="1033397"/>
        </a:xfrm>
        <a:solidFill>
          <a:schemeClr val="bg2">
            <a:lumMod val="75000"/>
          </a:schemeClr>
        </a:solidFill>
      </xdr:grpSpPr>
      <xdr:sp macro="" textlink="">
        <xdr:nvSpPr>
          <xdr:cNvPr id="34" name="Rectangle 33">
            <a:extLst>
              <a:ext uri="{FF2B5EF4-FFF2-40B4-BE49-F238E27FC236}">
                <a16:creationId xmlns:a16="http://schemas.microsoft.com/office/drawing/2014/main" id="{D7004005-890F-BE95-FAD0-DD6AABE9D2D6}"/>
              </a:ext>
            </a:extLst>
          </xdr:cNvPr>
          <xdr:cNvSpPr/>
        </xdr:nvSpPr>
        <xdr:spPr>
          <a:xfrm>
            <a:off x="1127342" y="1482247"/>
            <a:ext cx="2056357" cy="1033397"/>
          </a:xfrm>
          <a:prstGeom prst="rect">
            <a:avLst/>
          </a:prstGeom>
          <a:grp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2400"/>
              <a:t>TOTAL</a:t>
            </a:r>
            <a:r>
              <a:rPr lang="en-IN" sz="2400" baseline="0"/>
              <a:t> QUNTITY</a:t>
            </a:r>
            <a:endParaRPr lang="en-IN" sz="2400"/>
          </a:p>
        </xdr:txBody>
      </xdr:sp>
      <xdr:sp macro="" textlink="Sheet9!C8">
        <xdr:nvSpPr>
          <xdr:cNvPr id="35" name="Rectangle 34">
            <a:extLst>
              <a:ext uri="{FF2B5EF4-FFF2-40B4-BE49-F238E27FC236}">
                <a16:creationId xmlns:a16="http://schemas.microsoft.com/office/drawing/2014/main" id="{1EDA5BA7-86D4-8873-F4F7-8EC58645E1F5}"/>
              </a:ext>
            </a:extLst>
          </xdr:cNvPr>
          <xdr:cNvSpPr/>
        </xdr:nvSpPr>
        <xdr:spPr>
          <a:xfrm>
            <a:off x="1419614" y="1951973"/>
            <a:ext cx="1440493" cy="50104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CB5B126-8011-44C3-A324-4E0B7506A281}" type="TxLink">
              <a:rPr lang="en-US" sz="2000" b="0" i="0" u="none" strike="noStrike">
                <a:solidFill>
                  <a:srgbClr val="000000"/>
                </a:solidFill>
                <a:latin typeface="Segoe UI Semibold"/>
                <a:cs typeface="Segoe UI Semibold"/>
              </a:rPr>
              <a:pPr algn="ctr"/>
              <a:t>11k</a:t>
            </a:fld>
            <a:endParaRPr lang="en-IN" sz="2000"/>
          </a:p>
        </xdr:txBody>
      </xdr:sp>
    </xdr:grpSp>
    <xdr:clientData/>
  </xdr:twoCellAnchor>
  <xdr:twoCellAnchor>
    <xdr:from>
      <xdr:col>7</xdr:col>
      <xdr:colOff>631720</xdr:colOff>
      <xdr:row>5</xdr:row>
      <xdr:rowOff>216951</xdr:rowOff>
    </xdr:from>
    <xdr:to>
      <xdr:col>9</xdr:col>
      <xdr:colOff>756977</xdr:colOff>
      <xdr:row>9</xdr:row>
      <xdr:rowOff>87438</xdr:rowOff>
    </xdr:to>
    <xdr:grpSp>
      <xdr:nvGrpSpPr>
        <xdr:cNvPr id="36" name="Group 35">
          <a:extLst>
            <a:ext uri="{FF2B5EF4-FFF2-40B4-BE49-F238E27FC236}">
              <a16:creationId xmlns:a16="http://schemas.microsoft.com/office/drawing/2014/main" id="{336F32F0-8663-4AB5-930E-0F713752F709}"/>
            </a:ext>
          </a:extLst>
        </xdr:cNvPr>
        <xdr:cNvGrpSpPr/>
      </xdr:nvGrpSpPr>
      <xdr:grpSpPr>
        <a:xfrm>
          <a:off x="7069306" y="1530744"/>
          <a:ext cx="1964568" cy="921522"/>
          <a:chOff x="1127342" y="1482247"/>
          <a:chExt cx="2056357" cy="1033397"/>
        </a:xfrm>
        <a:solidFill>
          <a:schemeClr val="bg2">
            <a:lumMod val="75000"/>
          </a:schemeClr>
        </a:solidFill>
      </xdr:grpSpPr>
      <xdr:sp macro="" textlink="">
        <xdr:nvSpPr>
          <xdr:cNvPr id="37" name="Rectangle 36">
            <a:extLst>
              <a:ext uri="{FF2B5EF4-FFF2-40B4-BE49-F238E27FC236}">
                <a16:creationId xmlns:a16="http://schemas.microsoft.com/office/drawing/2014/main" id="{F61F9F12-7C3A-176D-9191-B4CDB634DFC4}"/>
              </a:ext>
            </a:extLst>
          </xdr:cNvPr>
          <xdr:cNvSpPr/>
        </xdr:nvSpPr>
        <xdr:spPr>
          <a:xfrm>
            <a:off x="1127342" y="1482247"/>
            <a:ext cx="2056357" cy="1033397"/>
          </a:xfrm>
          <a:prstGeom prst="rect">
            <a:avLst/>
          </a:prstGeom>
          <a:grp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2400"/>
              <a:t>TARGET</a:t>
            </a:r>
          </a:p>
        </xdr:txBody>
      </xdr:sp>
      <xdr:sp macro="" textlink="Sheet9!D8">
        <xdr:nvSpPr>
          <xdr:cNvPr id="38" name="Rectangle 37">
            <a:extLst>
              <a:ext uri="{FF2B5EF4-FFF2-40B4-BE49-F238E27FC236}">
                <a16:creationId xmlns:a16="http://schemas.microsoft.com/office/drawing/2014/main" id="{135F3F66-1264-224C-F21A-3DCD97FF3D97}"/>
              </a:ext>
            </a:extLst>
          </xdr:cNvPr>
          <xdr:cNvSpPr/>
        </xdr:nvSpPr>
        <xdr:spPr>
          <a:xfrm>
            <a:off x="1419614" y="1951973"/>
            <a:ext cx="1440493" cy="50104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881A4A7-4DD6-41F8-86AC-C5E5E36BEA3A}" type="TxLink">
              <a:rPr lang="en-US" sz="2000" b="0" i="0" u="none" strike="noStrike">
                <a:solidFill>
                  <a:srgbClr val="000000"/>
                </a:solidFill>
                <a:latin typeface="Segoe UI Semibold"/>
                <a:cs typeface="Segoe UI Semibold"/>
              </a:rPr>
              <a:pPr algn="ctr"/>
              <a:t>856k</a:t>
            </a:fld>
            <a:endParaRPr lang="en-IN" sz="2000"/>
          </a:p>
        </xdr:txBody>
      </xdr:sp>
    </xdr:grpSp>
    <xdr:clientData/>
  </xdr:twoCellAnchor>
  <xdr:twoCellAnchor>
    <xdr:from>
      <xdr:col>0</xdr:col>
      <xdr:colOff>896871</xdr:colOff>
      <xdr:row>9</xdr:row>
      <xdr:rowOff>129124</xdr:rowOff>
    </xdr:from>
    <xdr:to>
      <xdr:col>4</xdr:col>
      <xdr:colOff>319216</xdr:colOff>
      <xdr:row>18</xdr:row>
      <xdr:rowOff>70262</xdr:rowOff>
    </xdr:to>
    <xdr:graphicFrame macro="">
      <xdr:nvGraphicFramePr>
        <xdr:cNvPr id="39" name="Chart 38">
          <a:extLst>
            <a:ext uri="{FF2B5EF4-FFF2-40B4-BE49-F238E27FC236}">
              <a16:creationId xmlns:a16="http://schemas.microsoft.com/office/drawing/2014/main" id="{16BBF446-3AAC-4C71-8D0B-FD13BA173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385860</xdr:colOff>
      <xdr:row>9</xdr:row>
      <xdr:rowOff>139025</xdr:rowOff>
    </xdr:from>
    <xdr:to>
      <xdr:col>7</xdr:col>
      <xdr:colOff>772297</xdr:colOff>
      <xdr:row>18</xdr:row>
      <xdr:rowOff>53550</xdr:rowOff>
    </xdr:to>
    <xdr:graphicFrame macro="">
      <xdr:nvGraphicFramePr>
        <xdr:cNvPr id="40" name="Chart 39">
          <a:extLst>
            <a:ext uri="{FF2B5EF4-FFF2-40B4-BE49-F238E27FC236}">
              <a16:creationId xmlns:a16="http://schemas.microsoft.com/office/drawing/2014/main" id="{836C036C-3C5E-4EE2-8091-836EAFEAD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909961</xdr:colOff>
      <xdr:row>18</xdr:row>
      <xdr:rowOff>128560</xdr:rowOff>
    </xdr:from>
    <xdr:to>
      <xdr:col>4</xdr:col>
      <xdr:colOff>298623</xdr:colOff>
      <xdr:row>27</xdr:row>
      <xdr:rowOff>78085</xdr:rowOff>
    </xdr:to>
    <xdr:graphicFrame macro="">
      <xdr:nvGraphicFramePr>
        <xdr:cNvPr id="41" name="Chart 40">
          <a:extLst>
            <a:ext uri="{FF2B5EF4-FFF2-40B4-BE49-F238E27FC236}">
              <a16:creationId xmlns:a16="http://schemas.microsoft.com/office/drawing/2014/main" id="{ECE22491-4888-43DC-B967-7E15F2592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373930</xdr:colOff>
      <xdr:row>18</xdr:row>
      <xdr:rowOff>141980</xdr:rowOff>
    </xdr:from>
    <xdr:to>
      <xdr:col>7</xdr:col>
      <xdr:colOff>772298</xdr:colOff>
      <xdr:row>27</xdr:row>
      <xdr:rowOff>71257</xdr:rowOff>
    </xdr:to>
    <xdr:graphicFrame macro="">
      <xdr:nvGraphicFramePr>
        <xdr:cNvPr id="42" name="Chart 41">
          <a:extLst>
            <a:ext uri="{FF2B5EF4-FFF2-40B4-BE49-F238E27FC236}">
              <a16:creationId xmlns:a16="http://schemas.microsoft.com/office/drawing/2014/main" id="{8C0215DD-7E22-4B02-9FB6-548F735C9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820616</xdr:colOff>
      <xdr:row>9</xdr:row>
      <xdr:rowOff>152400</xdr:rowOff>
    </xdr:from>
    <xdr:to>
      <xdr:col>9</xdr:col>
      <xdr:colOff>769034</xdr:colOff>
      <xdr:row>18</xdr:row>
      <xdr:rowOff>52552</xdr:rowOff>
    </xdr:to>
    <mc:AlternateContent xmlns:mc="http://schemas.openxmlformats.org/markup-compatibility/2006" xmlns:a14="http://schemas.microsoft.com/office/drawing/2010/main">
      <mc:Choice Requires="a14">
        <xdr:graphicFrame macro="">
          <xdr:nvGraphicFramePr>
            <xdr:cNvPr id="43" name="Manager">
              <a:extLst>
                <a:ext uri="{FF2B5EF4-FFF2-40B4-BE49-F238E27FC236}">
                  <a16:creationId xmlns:a16="http://schemas.microsoft.com/office/drawing/2014/main" id="{8D716B0B-3A6E-8552-D5CE-D1D336F3760C}"/>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7250643" y="2501030"/>
              <a:ext cx="1785569" cy="2248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847923</xdr:colOff>
      <xdr:row>18</xdr:row>
      <xdr:rowOff>111674</xdr:rowOff>
    </xdr:from>
    <xdr:to>
      <xdr:col>9</xdr:col>
      <xdr:colOff>735724</xdr:colOff>
      <xdr:row>27</xdr:row>
      <xdr:rowOff>105104</xdr:rowOff>
    </xdr:to>
    <mc:AlternateContent xmlns:mc="http://schemas.openxmlformats.org/markup-compatibility/2006" xmlns:a14="http://schemas.microsoft.com/office/drawing/2010/main">
      <mc:Choice Requires="a14">
        <xdr:graphicFrame macro="">
          <xdr:nvGraphicFramePr>
            <xdr:cNvPr id="60" name="Month">
              <a:extLst>
                <a:ext uri="{FF2B5EF4-FFF2-40B4-BE49-F238E27FC236}">
                  <a16:creationId xmlns:a16="http://schemas.microsoft.com/office/drawing/2014/main" id="{B66ED90A-ED88-9C35-8456-6063B3D515D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277950" y="4808934"/>
              <a:ext cx="1724952" cy="23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am Suryawanshi" refreshedDate="46155.883828935184" createdVersion="8" refreshedVersion="8" minRefreshableVersion="3" recordCount="349" xr:uid="{42F6038A-B001-4131-BDF6-E034EB9859E7}">
  <cacheSource type="worksheet">
    <worksheetSource ref="A1:J350" sheet="Raw Data"/>
  </cacheSource>
  <cacheFields count="10">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acheField>
    <cacheField name="Departments" numFmtId="0">
      <sharedItems/>
    </cacheField>
    <cacheField name="Manager" numFmtId="0">
      <sharedItems/>
    </cacheField>
    <cacheField name="Customer Name" numFmtId="0">
      <sharedItems/>
    </cacheField>
    <cacheField name="Product" numFmtId="0">
      <sharedItems/>
    </cacheField>
    <cacheField name="Target" numFmtId="0">
      <sharedItems containsSemiMixedTypes="0" containsString="0" containsNumber="1" containsInteger="1" minValue="500" maxValue="42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am Suryawanshi" refreshedDate="46156.611830324073" createdVersion="8" refreshedVersion="8" minRefreshableVersion="3" recordCount="349" xr:uid="{9EEF6C27-7C7A-4991-B58E-2C5D8540E143}">
  <cacheSource type="worksheet">
    <worksheetSource name="Table1"/>
  </cacheSource>
  <cacheFields count="12">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ount="4">
        <s v="South"/>
        <s v="North"/>
        <s v="East"/>
        <s v="West"/>
      </sharedItems>
    </cacheField>
    <cacheField name="Departments" numFmtId="0">
      <sharedItems count="3">
        <s v="Marketing"/>
        <s v="Operations"/>
        <s v="Sales"/>
      </sharedItems>
    </cacheField>
    <cacheField name="Manager" numFmtId="0">
      <sharedItems count="4">
        <s v="Sham"/>
        <s v="Kishan"/>
        <s v="Imran"/>
        <s v="Ram"/>
      </sharedItems>
    </cacheField>
    <cacheField name="Customer Name" numFmtId="0">
      <sharedItems/>
    </cacheField>
    <cacheField name="Product" numFmtId="0">
      <sharedItems count="6">
        <s v="Toys"/>
        <s v="Machines"/>
        <s v="Computers"/>
        <s v="Furnitures"/>
        <s v="Appliances"/>
        <s v="Mobiles"/>
      </sharedItems>
    </cacheField>
    <cacheField name="Target" numFmtId="0">
      <sharedItems containsSemiMixedTypes="0" containsString="0" containsNumber="1" containsInteger="1" minValue="500" maxValue="4296"/>
    </cacheField>
    <cacheField name="Month" numFmtId="0">
      <sharedItems count="12">
        <s v="Jan"/>
        <s v="Jul"/>
        <s v="Apr"/>
        <s v="Feb"/>
        <s v="Dec"/>
        <s v="Aug"/>
        <s v="Jun"/>
        <s v="Mar"/>
        <s v="Oct"/>
        <s v="Sep"/>
        <s v="May"/>
        <s v="Nov"/>
      </sharedItems>
    </cacheField>
    <cacheField name="Year" numFmtId="0">
      <sharedItems containsSemiMixedTypes="0" containsString="0" containsNumber="1" containsInteger="1" minValue="2024" maxValue="2025"/>
    </cacheField>
  </cacheFields>
  <extLst>
    <ext xmlns:x14="http://schemas.microsoft.com/office/spreadsheetml/2009/9/main" uri="{725AE2AE-9491-48be-B2B4-4EB974FC3084}">
      <x14:pivotCacheDefinition pivotCacheId="552196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n v="2200"/>
    <n v="245.10000000000002"/>
    <n v="10"/>
    <s v="South"/>
    <s v="Marketing"/>
    <s v="Sham"/>
    <s v="Sunny"/>
    <s v="Toys"/>
    <n v="2719"/>
  </r>
  <r>
    <d v="2024-07-15T00:00:00"/>
    <n v="2075"/>
    <n v="175.9"/>
    <n v="10"/>
    <s v="South"/>
    <s v="Operations"/>
    <s v="Kishan"/>
    <s v="Reena"/>
    <s v="Machines"/>
    <n v="2080"/>
  </r>
  <r>
    <d v="2025-04-25T00:00:00"/>
    <n v="2788"/>
    <n v="179.60000000000002"/>
    <n v="10"/>
    <s v="North"/>
    <s v="Marketing"/>
    <s v="Kishan"/>
    <s v="Rohit"/>
    <s v="Computers"/>
    <n v="4094"/>
  </r>
  <r>
    <d v="2025-02-17T00:00:00"/>
    <n v="3290"/>
    <n v="15.96"/>
    <n v="10"/>
    <s v="North"/>
    <s v="Marketing"/>
    <s v="Imran"/>
    <s v="Surya"/>
    <s v="Furnitures"/>
    <n v="1500"/>
  </r>
  <r>
    <d v="2024-12-02T00:00:00"/>
    <n v="2172"/>
    <n v="48.2"/>
    <n v="10"/>
    <s v="North"/>
    <s v="Operations"/>
    <s v="Kishan"/>
    <s v="Naveen"/>
    <s v="Appliances"/>
    <n v="1293"/>
  </r>
  <r>
    <d v="2025-01-04T00:00:00"/>
    <n v="591"/>
    <n v="15.08"/>
    <n v="10"/>
    <s v="East"/>
    <s v="Operations"/>
    <s v="Sham"/>
    <s v="Radhe"/>
    <s v="Computers"/>
    <n v="3592"/>
  </r>
  <r>
    <d v="2025-04-28T00:00:00"/>
    <n v="3892"/>
    <n v="42.74"/>
    <n v="11"/>
    <s v="West"/>
    <s v="Sales"/>
    <s v="Ram"/>
    <s v="Bobby"/>
    <s v="Toys"/>
    <n v="1298"/>
  </r>
  <r>
    <d v="2024-12-17T00:00:00"/>
    <n v="1363"/>
    <n v="131.15"/>
    <n v="11"/>
    <s v="South"/>
    <s v="Operations"/>
    <s v="Sham"/>
    <s v="Rohit"/>
    <s v="Toys"/>
    <n v="500"/>
  </r>
  <r>
    <d v="2024-12-10T00:00:00"/>
    <n v="611"/>
    <n v="47.300000000000004"/>
    <n v="11"/>
    <s v="South"/>
    <s v="Marketing"/>
    <s v="Ram"/>
    <s v="Raveena"/>
    <s v="Computers"/>
    <n v="740"/>
  </r>
  <r>
    <d v="2024-07-09T00:00:00"/>
    <n v="3584"/>
    <n v="33.32"/>
    <n v="11"/>
    <s v="South"/>
    <s v="Sales"/>
    <s v="Sham"/>
    <s v="Mohan"/>
    <s v="Mobiles"/>
    <n v="827"/>
  </r>
  <r>
    <d v="2024-08-03T00:00:00"/>
    <n v="1075"/>
    <n v="31.48"/>
    <n v="12"/>
    <s v="West"/>
    <s v="Sales"/>
    <s v="Kishan"/>
    <s v="Suraj"/>
    <s v="Computers"/>
    <n v="639"/>
  </r>
  <r>
    <d v="2024-06-09T00:00:00"/>
    <n v="1083"/>
    <n v="38.660000000000004"/>
    <n v="12"/>
    <s v="West"/>
    <s v="Operations"/>
    <s v="Kishan"/>
    <s v="Radhe"/>
    <s v="Furnitures"/>
    <n v="2943"/>
  </r>
  <r>
    <d v="2025-03-08T00:00:00"/>
    <n v="1476"/>
    <n v="229.3"/>
    <n v="12"/>
    <s v="North"/>
    <s v="Sales"/>
    <s v="Kishan"/>
    <s v="Surya"/>
    <s v="Computers"/>
    <n v="2416"/>
  </r>
  <r>
    <d v="2024-10-13T00:00:00"/>
    <n v="2000"/>
    <n v="228.05"/>
    <n v="12"/>
    <s v="East"/>
    <s v="Operations"/>
    <s v="Ram"/>
    <s v="Surya"/>
    <s v="Toys"/>
    <n v="1838"/>
  </r>
  <r>
    <d v="2024-10-07T00:00:00"/>
    <n v="1008"/>
    <n v="139.1"/>
    <n v="12"/>
    <s v="East"/>
    <s v="Operations"/>
    <s v="Kishan"/>
    <s v="Raveena"/>
    <s v="Furnitures"/>
    <n v="967"/>
  </r>
  <r>
    <d v="2024-07-05T00:00:00"/>
    <n v="2642"/>
    <n v="199.70000000000002"/>
    <n v="13"/>
    <s v="West"/>
    <s v="Marketing"/>
    <s v="Ram"/>
    <s v="Reena"/>
    <s v="Machines"/>
    <n v="600"/>
  </r>
  <r>
    <d v="2024-07-30T00:00:00"/>
    <n v="2500"/>
    <n v="11.66"/>
    <n v="13"/>
    <s v="South"/>
    <s v="Marketing"/>
    <s v="Imran"/>
    <s v="Raveena"/>
    <s v="Furnitures"/>
    <n v="2811"/>
  </r>
  <r>
    <d v="2024-06-23T00:00:00"/>
    <n v="1151"/>
    <n v="211.10000000000002"/>
    <n v="13"/>
    <s v="South"/>
    <s v="Operations"/>
    <s v="Ram"/>
    <s v="Jenny"/>
    <s v="Appliances"/>
    <n v="2500"/>
  </r>
  <r>
    <d v="2025-02-15T00:00:00"/>
    <n v="3862"/>
    <n v="37.160000000000004"/>
    <n v="13"/>
    <s v="North"/>
    <s v="Marketing"/>
    <s v="Kishan"/>
    <s v="Reena"/>
    <s v="Mobiles"/>
    <n v="1574"/>
  </r>
  <r>
    <d v="2025-01-13T00:00:00"/>
    <n v="6000"/>
    <n v="174.70000000000002"/>
    <n v="13"/>
    <s v="North"/>
    <s v="Operations"/>
    <s v="Imran"/>
    <s v="Jenny"/>
    <s v="Toys"/>
    <n v="568"/>
  </r>
  <r>
    <d v="2024-07-18T00:00:00"/>
    <n v="3764"/>
    <n v="47.480000000000004"/>
    <n v="13"/>
    <s v="North"/>
    <s v="Marketing"/>
    <s v="Imran"/>
    <s v="Bobby"/>
    <s v="Furnitures"/>
    <n v="3241"/>
  </r>
  <r>
    <d v="2024-09-20T00:00:00"/>
    <n v="1397"/>
    <n v="133.65"/>
    <n v="13"/>
    <s v="East"/>
    <s v="Sales"/>
    <s v="Kishan"/>
    <s v="Sunny"/>
    <s v="Machines"/>
    <n v="2802"/>
  </r>
  <r>
    <d v="2024-08-05T00:00:00"/>
    <n v="2113"/>
    <n v="34.82"/>
    <n v="13"/>
    <s v="East"/>
    <s v="Marketing"/>
    <s v="Imran"/>
    <s v="Suraj"/>
    <s v="Toys"/>
    <n v="3895"/>
  </r>
  <r>
    <d v="2025-02-07T00:00:00"/>
    <n v="1636"/>
    <n v="149.9"/>
    <n v="14"/>
    <s v="West"/>
    <s v="Sales"/>
    <s v="Sham"/>
    <s v="Rohit"/>
    <s v="Machines"/>
    <n v="3512"/>
  </r>
  <r>
    <d v="2025-05-11T00:00:00"/>
    <n v="3781"/>
    <n v="24.52"/>
    <n v="14"/>
    <s v="South"/>
    <s v="Sales"/>
    <s v="Kishan"/>
    <s v="Reena"/>
    <s v="Machines"/>
    <n v="553"/>
  </r>
  <r>
    <d v="2025-03-12T00:00:00"/>
    <n v="734"/>
    <n v="228.45000000000002"/>
    <n v="14"/>
    <s v="South"/>
    <s v="Operations"/>
    <s v="Sham"/>
    <s v="Reena"/>
    <s v="Computers"/>
    <n v="3440"/>
  </r>
  <r>
    <d v="2025-01-29T00:00:00"/>
    <n v="3142"/>
    <n v="13.86"/>
    <n v="14"/>
    <s v="South"/>
    <s v="Operations"/>
    <s v="Kishan"/>
    <s v="Rohit"/>
    <s v="Mobiles"/>
    <n v="4066"/>
  </r>
  <r>
    <d v="2024-07-19T00:00:00"/>
    <n v="1284"/>
    <n v="138.45000000000002"/>
    <n v="14"/>
    <s v="South"/>
    <s v="Operations"/>
    <s v="Sham"/>
    <s v="Radhe"/>
    <s v="Furnitures"/>
    <n v="1476"/>
  </r>
  <r>
    <d v="2025-01-22T00:00:00"/>
    <n v="3854"/>
    <n v="30.7"/>
    <n v="14"/>
    <s v="North"/>
    <s v="Sales"/>
    <s v="Ram"/>
    <s v="Mohan"/>
    <s v="Furnitures"/>
    <n v="1543"/>
  </r>
  <r>
    <d v="2024-12-11T00:00:00"/>
    <n v="1549"/>
    <n v="149.70000000000002"/>
    <n v="14"/>
    <s v="North"/>
    <s v="Operations"/>
    <s v="Imran"/>
    <s v="Radhe"/>
    <s v="Mobiles"/>
    <n v="3693"/>
  </r>
  <r>
    <d v="2024-09-12T00:00:00"/>
    <n v="1973"/>
    <n v="205.70000000000002"/>
    <n v="14"/>
    <s v="North"/>
    <s v="Marketing"/>
    <s v="Ram"/>
    <s v="Suraj"/>
    <s v="Machines"/>
    <n v="2819"/>
  </r>
  <r>
    <d v="2024-08-17T00:00:00"/>
    <n v="2205"/>
    <n v="12.120000000000001"/>
    <n v="14"/>
    <s v="North"/>
    <s v="Sales"/>
    <s v="Kishan"/>
    <s v="Bobby"/>
    <s v="Toys"/>
    <n v="3994"/>
  </r>
  <r>
    <d v="2024-07-20T00:00:00"/>
    <n v="2792"/>
    <n v="39.24"/>
    <n v="14"/>
    <s v="North"/>
    <s v="Operations"/>
    <s v="Ram"/>
    <s v="Akash"/>
    <s v="Machines"/>
    <n v="2249"/>
  </r>
  <r>
    <d v="2025-03-04T00:00:00"/>
    <n v="760"/>
    <n v="45.72"/>
    <n v="14"/>
    <s v="East"/>
    <s v="Sales"/>
    <s v="Imran"/>
    <s v="Raveena"/>
    <s v="Appliances"/>
    <n v="1201"/>
  </r>
  <r>
    <d v="2025-01-23T00:00:00"/>
    <n v="1722"/>
    <n v="153.20000000000002"/>
    <n v="14"/>
    <s v="East"/>
    <s v="Sales"/>
    <s v="Ram"/>
    <s v="Sunny"/>
    <s v="Machines"/>
    <n v="2614"/>
  </r>
  <r>
    <d v="2024-12-13T00:00:00"/>
    <n v="1678"/>
    <n v="167.70000000000002"/>
    <n v="14"/>
    <s v="East"/>
    <s v="Operations"/>
    <s v="Imran"/>
    <s v="Roman"/>
    <s v="Appliances"/>
    <n v="1905"/>
  </r>
  <r>
    <d v="2024-06-19T00:00:00"/>
    <n v="1474"/>
    <n v="14.56"/>
    <n v="15"/>
    <s v="West"/>
    <s v="Marketing"/>
    <s v="Sham"/>
    <s v="Rohit"/>
    <s v="Toys"/>
    <n v="1816"/>
  </r>
  <r>
    <d v="2025-05-05T00:00:00"/>
    <n v="3335"/>
    <n v="148.25"/>
    <n v="15"/>
    <s v="South"/>
    <s v="Operations"/>
    <s v="Ram"/>
    <s v="Reena"/>
    <s v="Toys"/>
    <n v="2203"/>
  </r>
  <r>
    <d v="2024-08-25T00:00:00"/>
    <n v="2257"/>
    <n v="12.26"/>
    <n v="15"/>
    <s v="North"/>
    <s v="Sales"/>
    <s v="Sham"/>
    <s v="Akash"/>
    <s v="Mobiles"/>
    <n v="2131"/>
  </r>
  <r>
    <d v="2025-03-25T00:00:00"/>
    <n v="2231"/>
    <n v="49.32"/>
    <n v="16"/>
    <s v="West"/>
    <s v="Sales"/>
    <s v="Sham"/>
    <s v="Mohan"/>
    <s v="Machines"/>
    <n v="2364"/>
  </r>
  <r>
    <d v="2025-03-19T00:00:00"/>
    <n v="2631"/>
    <n v="220.60000000000002"/>
    <n v="16"/>
    <s v="West"/>
    <s v="Sales"/>
    <s v="Ram"/>
    <s v="Raveena"/>
    <s v="Machines"/>
    <n v="3343"/>
  </r>
  <r>
    <d v="2024-09-06T00:00:00"/>
    <n v="2912"/>
    <n v="39.54"/>
    <n v="16"/>
    <s v="West"/>
    <s v="Sales"/>
    <s v="Sham"/>
    <s v="Sunny"/>
    <s v="Mobiles"/>
    <n v="4252"/>
  </r>
  <r>
    <d v="2024-10-14T00:00:00"/>
    <n v="3489"/>
    <n v="163.5"/>
    <n v="16"/>
    <s v="South"/>
    <s v="Sales"/>
    <s v="Kishan"/>
    <s v="Rohit"/>
    <s v="Toys"/>
    <n v="891"/>
  </r>
  <r>
    <d v="2024-07-11T00:00:00"/>
    <n v="717"/>
    <n v="40.619999999999997"/>
    <n v="16"/>
    <s v="South"/>
    <s v="Marketing"/>
    <s v="Ram"/>
    <s v="Raveena"/>
    <s v="Toys"/>
    <n v="2892"/>
  </r>
  <r>
    <d v="2024-12-08T00:00:00"/>
    <n v="1379"/>
    <n v="213.35000000000002"/>
    <n v="16"/>
    <s v="North"/>
    <s v="Marketing"/>
    <s v="Sham"/>
    <s v="Naveen"/>
    <s v="Machines"/>
    <n v="2109"/>
  </r>
  <r>
    <d v="2024-11-30T00:00:00"/>
    <n v="1339"/>
    <n v="137.35"/>
    <n v="16"/>
    <s v="North"/>
    <s v="Marketing"/>
    <s v="Sham"/>
    <s v="Sunny"/>
    <s v="Appliances"/>
    <n v="4235"/>
  </r>
  <r>
    <d v="2024-11-25T00:00:00"/>
    <n v="1423"/>
    <n v="129.05000000000001"/>
    <n v="16"/>
    <s v="North"/>
    <s v="Marketing"/>
    <s v="Ram"/>
    <s v="Jenny"/>
    <s v="Appliances"/>
    <n v="2468"/>
  </r>
  <r>
    <d v="2024-10-27T00:00:00"/>
    <n v="2844"/>
    <n v="147.30000000000001"/>
    <n v="16"/>
    <s v="North"/>
    <s v="Marketing"/>
    <s v="Kishan"/>
    <s v="Raveena"/>
    <s v="Toys"/>
    <n v="1707"/>
  </r>
  <r>
    <d v="2025-03-31T00:00:00"/>
    <n v="2417"/>
    <n v="225.9"/>
    <n v="16"/>
    <s v="East"/>
    <s v="Sales"/>
    <s v="Imran"/>
    <s v="Mohan"/>
    <s v="Furnitures"/>
    <n v="3261"/>
  </r>
  <r>
    <d v="2025-02-23T00:00:00"/>
    <n v="796"/>
    <n v="177.3"/>
    <n v="16"/>
    <s v="East"/>
    <s v="Sales"/>
    <s v="Sham"/>
    <s v="Reena"/>
    <s v="Machines"/>
    <n v="2480"/>
  </r>
  <r>
    <d v="2025-02-01T00:00:00"/>
    <n v="676"/>
    <n v="128.35"/>
    <n v="16"/>
    <s v="East"/>
    <s v="Marketing"/>
    <s v="Imran"/>
    <s v="Roman"/>
    <s v="Toys"/>
    <n v="4127"/>
  </r>
  <r>
    <d v="2025-01-27T00:00:00"/>
    <n v="1856"/>
    <n v="37.480000000000004"/>
    <n v="16"/>
    <s v="East"/>
    <s v="Operations"/>
    <s v="Kishan"/>
    <s v="Suraj"/>
    <s v="Appliances"/>
    <n v="2816"/>
  </r>
  <r>
    <d v="2025-01-25T00:00:00"/>
    <n v="2367"/>
    <n v="208.5"/>
    <n v="17"/>
    <s v="West"/>
    <s v="Marketing"/>
    <s v="Imran"/>
    <s v="Bobby"/>
    <s v="Furnitures"/>
    <n v="1662"/>
  </r>
  <r>
    <d v="2024-12-27T00:00:00"/>
    <n v="3103"/>
    <n v="14.38"/>
    <n v="17"/>
    <s v="West"/>
    <s v="Sales"/>
    <s v="Ram"/>
    <s v="Radhe"/>
    <s v="Furnitures"/>
    <n v="3251"/>
  </r>
  <r>
    <d v="2024-08-09T00:00:00"/>
    <n v="2623"/>
    <n v="164.45000000000002"/>
    <n v="17"/>
    <s v="West"/>
    <s v="Operations"/>
    <s v="Imran"/>
    <s v="Mohan"/>
    <s v="Mobiles"/>
    <n v="1081"/>
  </r>
  <r>
    <d v="2025-01-17T00:00:00"/>
    <n v="3101"/>
    <n v="213.8"/>
    <n v="17"/>
    <s v="South"/>
    <s v="Operations"/>
    <s v="Kishan"/>
    <s v="Akash"/>
    <s v="Furnitures"/>
    <n v="2663"/>
  </r>
  <r>
    <d v="2024-08-27T00:00:00"/>
    <n v="2441"/>
    <n v="160.65"/>
    <n v="17"/>
    <s v="South"/>
    <s v="Marketing"/>
    <s v="Kishan"/>
    <s v="Surya"/>
    <s v="Mobiles"/>
    <n v="1823"/>
  </r>
  <r>
    <d v="2025-04-12T00:00:00"/>
    <n v="2210"/>
    <n v="48.14"/>
    <n v="17"/>
    <s v="East"/>
    <s v="Operations"/>
    <s v="Sham"/>
    <s v="Sunny"/>
    <s v="Toys"/>
    <n v="2610"/>
  </r>
  <r>
    <d v="2024-12-18T00:00:00"/>
    <n v="2134"/>
    <n v="30.560000000000002"/>
    <n v="17"/>
    <s v="East"/>
    <s v="Operations"/>
    <s v="Kishan"/>
    <s v="Reena"/>
    <s v="Appliances"/>
    <n v="832"/>
  </r>
  <r>
    <d v="2025-03-22T00:00:00"/>
    <n v="3354"/>
    <n v="151.75"/>
    <n v="18"/>
    <s v="West"/>
    <s v="Marketing"/>
    <s v="Sham"/>
    <s v="Radhe"/>
    <s v="Toys"/>
    <n v="4139"/>
  </r>
  <r>
    <d v="2024-11-14T00:00:00"/>
    <n v="1886"/>
    <n v="35.96"/>
    <n v="18"/>
    <s v="South"/>
    <s v="Sales"/>
    <s v="Ram"/>
    <s v="Roman"/>
    <s v="Computers"/>
    <n v="1771"/>
  </r>
  <r>
    <d v="2025-04-26T00:00:00"/>
    <n v="2703"/>
    <n v="154.65"/>
    <n v="18"/>
    <s v="North"/>
    <s v="Marketing"/>
    <s v="Imran"/>
    <s v="Jenny"/>
    <s v="Toys"/>
    <n v="906"/>
  </r>
  <r>
    <d v="2024-12-07T00:00:00"/>
    <n v="3537"/>
    <n v="148.6"/>
    <n v="18"/>
    <s v="North"/>
    <s v="Operations"/>
    <s v="Imran"/>
    <s v="Akash"/>
    <s v="Mobiles"/>
    <n v="3426"/>
  </r>
  <r>
    <d v="2024-09-18T00:00:00"/>
    <n v="3209"/>
    <n v="29.1"/>
    <n v="18"/>
    <s v="North"/>
    <s v="Sales"/>
    <s v="Sham"/>
    <s v="Radhe"/>
    <s v="Mobiles"/>
    <n v="2835"/>
  </r>
  <r>
    <d v="2025-03-21T00:00:00"/>
    <n v="604"/>
    <n v="14.620000000000001"/>
    <n v="18"/>
    <s v="East"/>
    <s v="Operations"/>
    <s v="Sham"/>
    <s v="Raveena"/>
    <s v="Mobiles"/>
    <n v="860"/>
  </r>
  <r>
    <d v="2024-11-15T00:00:00"/>
    <n v="1543"/>
    <n v="243.60000000000002"/>
    <n v="19"/>
    <s v="West"/>
    <s v="Operations"/>
    <s v="Ram"/>
    <s v="Sunny"/>
    <s v="Furnitures"/>
    <n v="1798"/>
  </r>
  <r>
    <d v="2024-08-06T00:00:00"/>
    <n v="3937"/>
    <n v="27.04"/>
    <n v="19"/>
    <s v="West"/>
    <s v="Operations"/>
    <s v="Sham"/>
    <s v="Mohan"/>
    <s v="Appliances"/>
    <n v="2069"/>
  </r>
  <r>
    <d v="2024-07-31T00:00:00"/>
    <n v="2024"/>
    <n v="14.14"/>
    <n v="19"/>
    <s v="West"/>
    <s v="Marketing"/>
    <s v="Imran"/>
    <s v="Rohit"/>
    <s v="Furnitures"/>
    <n v="3890"/>
  </r>
  <r>
    <d v="2024-11-10T00:00:00"/>
    <n v="1810"/>
    <n v="233.85000000000002"/>
    <n v="19"/>
    <s v="South"/>
    <s v="Marketing"/>
    <s v="Imran"/>
    <s v="Mohan"/>
    <s v="Mobiles"/>
    <n v="2038"/>
  </r>
  <r>
    <d v="2025-01-16T00:00:00"/>
    <n v="3092"/>
    <n v="184.75"/>
    <n v="19"/>
    <s v="North"/>
    <s v="Marketing"/>
    <s v="Imran"/>
    <s v="Jenny"/>
    <s v="Appliances"/>
    <n v="3190"/>
  </r>
  <r>
    <d v="2024-08-26T00:00:00"/>
    <n v="2943"/>
    <n v="21.66"/>
    <n v="19"/>
    <s v="East"/>
    <s v="Operations"/>
    <s v="Ram"/>
    <s v="Rohit"/>
    <s v="Mobiles"/>
    <n v="3816"/>
  </r>
  <r>
    <d v="2024-08-08T00:00:00"/>
    <n v="1770"/>
    <n v="153.95000000000002"/>
    <n v="19"/>
    <s v="East"/>
    <s v="Marketing"/>
    <s v="Sham"/>
    <s v="Surya"/>
    <s v="Furnitures"/>
    <n v="862"/>
  </r>
  <r>
    <d v="2024-10-20T00:00:00"/>
    <n v="3268"/>
    <n v="128.70000000000002"/>
    <n v="20"/>
    <s v="West"/>
    <s v="Marketing"/>
    <s v="Kishan"/>
    <s v="Reena"/>
    <s v="Computers"/>
    <n v="2099"/>
  </r>
  <r>
    <d v="2024-07-08T00:00:00"/>
    <n v="1770"/>
    <n v="29.1"/>
    <n v="20"/>
    <s v="West"/>
    <s v="Marketing"/>
    <s v="Imran"/>
    <s v="Jenny"/>
    <s v="Appliances"/>
    <n v="4209"/>
  </r>
  <r>
    <d v="2025-05-23T00:00:00"/>
    <n v="571"/>
    <n v="35.74"/>
    <n v="20"/>
    <s v="North"/>
    <s v="Sales"/>
    <s v="Kishan"/>
    <s v="Reena"/>
    <s v="Toys"/>
    <n v="2386"/>
  </r>
  <r>
    <d v="2025-05-13T00:00:00"/>
    <n v="3302"/>
    <n v="11.200000000000001"/>
    <n v="20"/>
    <s v="North"/>
    <s v="Sales"/>
    <s v="Imran"/>
    <s v="Bobby"/>
    <s v="Furnitures"/>
    <n v="3739"/>
  </r>
  <r>
    <d v="2024-10-02T00:00:00"/>
    <n v="1829"/>
    <n v="41.92"/>
    <n v="20"/>
    <s v="North"/>
    <s v="Marketing"/>
    <s v="Sham"/>
    <s v="Raveena"/>
    <s v="Appliances"/>
    <n v="813"/>
  </r>
  <r>
    <d v="2024-09-21T00:00:00"/>
    <n v="1566"/>
    <n v="168.75"/>
    <n v="20"/>
    <s v="East"/>
    <s v="Marketing"/>
    <s v="Sham"/>
    <s v="Raveena"/>
    <s v="Furnitures"/>
    <n v="4051"/>
  </r>
  <r>
    <d v="2024-06-24T00:00:00"/>
    <n v="3684"/>
    <n v="156.25"/>
    <n v="20"/>
    <s v="East"/>
    <s v="Operations"/>
    <s v="Kishan"/>
    <s v="Surya"/>
    <s v="Machines"/>
    <n v="1429"/>
  </r>
  <r>
    <d v="2025-05-16T00:00:00"/>
    <n v="1380"/>
    <n v="208.60000000000002"/>
    <n v="21"/>
    <s v="South"/>
    <s v="Marketing"/>
    <s v="Sham"/>
    <s v="Jenny"/>
    <s v="Computers"/>
    <n v="3043"/>
  </r>
  <r>
    <d v="2024-11-22T00:00:00"/>
    <n v="2391"/>
    <n v="22.900000000000002"/>
    <n v="21"/>
    <s v="South"/>
    <s v="Marketing"/>
    <s v="Ram"/>
    <s v="Suraj"/>
    <s v="Appliances"/>
    <n v="1021"/>
  </r>
  <r>
    <d v="2024-07-10T00:00:00"/>
    <n v="826"/>
    <n v="150.85"/>
    <n v="21"/>
    <s v="North"/>
    <s v="Sales"/>
    <s v="Sham"/>
    <s v="Raveena"/>
    <s v="Mobiles"/>
    <n v="2135"/>
  </r>
  <r>
    <d v="2025-03-14T00:00:00"/>
    <n v="2821"/>
    <n v="183.75"/>
    <n v="21"/>
    <s v="East"/>
    <s v="Operations"/>
    <s v="Ram"/>
    <s v="Mohan"/>
    <s v="Computers"/>
    <n v="967"/>
  </r>
  <r>
    <d v="2025-02-22T00:00:00"/>
    <n v="3431"/>
    <n v="40.9"/>
    <n v="21"/>
    <s v="East"/>
    <s v="Marketing"/>
    <s v="Sham"/>
    <s v="Naveen"/>
    <s v="Toys"/>
    <n v="3975"/>
  </r>
  <r>
    <d v="2025-01-26T00:00:00"/>
    <n v="2786"/>
    <n v="10.18"/>
    <n v="21"/>
    <s v="East"/>
    <s v="Sales"/>
    <s v="Sham"/>
    <s v="Reena"/>
    <s v="Machines"/>
    <n v="1732"/>
  </r>
  <r>
    <d v="2025-02-13T00:00:00"/>
    <n v="604"/>
    <n v="29.66"/>
    <n v="22"/>
    <s v="West"/>
    <s v="Marketing"/>
    <s v="Sham"/>
    <s v="Rohit"/>
    <s v="Machines"/>
    <n v="3044"/>
  </r>
  <r>
    <d v="2024-12-06T00:00:00"/>
    <n v="3073"/>
    <n v="12.200000000000001"/>
    <n v="22"/>
    <s v="West"/>
    <s v="Operations"/>
    <s v="Imran"/>
    <s v="Reena"/>
    <s v="Computers"/>
    <n v="527"/>
  </r>
  <r>
    <d v="2024-10-12T00:00:00"/>
    <n v="2802"/>
    <n v="179"/>
    <n v="22"/>
    <s v="West"/>
    <s v="Operations"/>
    <s v="Ram"/>
    <s v="Jenny"/>
    <s v="Machines"/>
    <n v="1400"/>
  </r>
  <r>
    <d v="2024-08-04T00:00:00"/>
    <n v="1242"/>
    <n v="16.100000000000001"/>
    <n v="22"/>
    <s v="West"/>
    <s v="Marketing"/>
    <s v="Kishan"/>
    <s v="Reena"/>
    <s v="Machines"/>
    <n v="2576"/>
  </r>
  <r>
    <d v="2024-07-17T00:00:00"/>
    <n v="1565"/>
    <n v="243.60000000000002"/>
    <n v="22"/>
    <s v="West"/>
    <s v="Marketing"/>
    <s v="Ram"/>
    <s v="Sunny"/>
    <s v="Computers"/>
    <n v="1987"/>
  </r>
  <r>
    <d v="2025-02-28T00:00:00"/>
    <n v="1309"/>
    <n v="10.72"/>
    <n v="22"/>
    <s v="South"/>
    <s v="Sales"/>
    <s v="Imran"/>
    <s v="Jenny"/>
    <s v="Machines"/>
    <n v="770"/>
  </r>
  <r>
    <d v="2025-01-08T00:00:00"/>
    <n v="1395"/>
    <n v="14.72"/>
    <n v="22"/>
    <s v="South"/>
    <s v="Operations"/>
    <s v="Sham"/>
    <s v="Akash"/>
    <s v="Toys"/>
    <n v="1439"/>
  </r>
  <r>
    <d v="2024-12-26T00:00:00"/>
    <n v="1161"/>
    <n v="25.18"/>
    <n v="22"/>
    <s v="South"/>
    <s v="Sales"/>
    <s v="Kishan"/>
    <s v="Naveen"/>
    <s v="Furnitures"/>
    <n v="1348"/>
  </r>
  <r>
    <d v="2024-08-29T00:00:00"/>
    <n v="2204"/>
    <n v="154.4"/>
    <n v="22"/>
    <s v="South"/>
    <s v="Operations"/>
    <s v="Imran"/>
    <s v="Roman"/>
    <s v="Furnitures"/>
    <n v="4021"/>
  </r>
  <r>
    <d v="2024-08-19T00:00:00"/>
    <n v="1173"/>
    <n v="203.85000000000002"/>
    <n v="22"/>
    <s v="South"/>
    <s v="Marketing"/>
    <s v="Ram"/>
    <s v="Surya"/>
    <s v="Furnitures"/>
    <n v="1800"/>
  </r>
  <r>
    <d v="2024-07-28T00:00:00"/>
    <n v="3803"/>
    <n v="169.85000000000002"/>
    <n v="22"/>
    <s v="South"/>
    <s v="Marketing"/>
    <s v="Sham"/>
    <s v="Jenny"/>
    <s v="Computers"/>
    <n v="3496"/>
  </r>
  <r>
    <d v="2024-07-01T00:00:00"/>
    <n v="3801"/>
    <n v="207.3"/>
    <n v="22"/>
    <s v="North"/>
    <s v="Operations"/>
    <s v="Ram"/>
    <s v="Sunny"/>
    <s v="Machines"/>
    <n v="3622"/>
  </r>
  <r>
    <d v="2025-04-23T00:00:00"/>
    <n v="3857"/>
    <n v="28.28"/>
    <n v="22"/>
    <s v="East"/>
    <s v="Sales"/>
    <s v="Sham"/>
    <s v="Surya"/>
    <s v="Furnitures"/>
    <n v="1064"/>
  </r>
  <r>
    <d v="2024-10-29T00:00:00"/>
    <n v="1074"/>
    <n v="170.25"/>
    <n v="22"/>
    <s v="East"/>
    <s v="Marketing"/>
    <s v="Imran"/>
    <s v="Naveen"/>
    <s v="Furnitures"/>
    <n v="2668"/>
  </r>
  <r>
    <d v="2024-09-27T00:00:00"/>
    <n v="1155"/>
    <n v="20.92"/>
    <n v="22"/>
    <s v="East"/>
    <s v="Sales"/>
    <s v="Kishan"/>
    <s v="Bobby"/>
    <s v="Computers"/>
    <n v="896"/>
  </r>
  <r>
    <d v="2025-04-15T00:00:00"/>
    <n v="2279"/>
    <n v="194.60000000000002"/>
    <n v="23"/>
    <s v="West"/>
    <s v="Marketing"/>
    <s v="Sham"/>
    <s v="Bobby"/>
    <s v="Mobiles"/>
    <n v="2124"/>
  </r>
  <r>
    <d v="2025-03-09T00:00:00"/>
    <n v="719"/>
    <n v="146.65"/>
    <n v="23"/>
    <s v="West"/>
    <s v="Marketing"/>
    <s v="Kishan"/>
    <s v="Radhe"/>
    <s v="Toys"/>
    <n v="3480"/>
  </r>
  <r>
    <d v="2024-12-29T00:00:00"/>
    <n v="2232"/>
    <n v="40.14"/>
    <n v="23"/>
    <s v="West"/>
    <s v="Marketing"/>
    <s v="Imran"/>
    <s v="Rohit"/>
    <s v="Toys"/>
    <n v="1085"/>
  </r>
  <r>
    <d v="2024-12-23T00:00:00"/>
    <n v="2128"/>
    <n v="19.740000000000002"/>
    <n v="23"/>
    <s v="South"/>
    <s v="Operations"/>
    <s v="Sham"/>
    <s v="Radhe"/>
    <s v="Toys"/>
    <n v="1336"/>
  </r>
  <r>
    <d v="2024-11-21T00:00:00"/>
    <n v="2879"/>
    <n v="229.45000000000002"/>
    <n v="23"/>
    <s v="South"/>
    <s v="Sales"/>
    <s v="Ram"/>
    <s v="Raveena"/>
    <s v="Toys"/>
    <n v="1701"/>
  </r>
  <r>
    <d v="2025-02-18T00:00:00"/>
    <n v="1252"/>
    <n v="12.34"/>
    <n v="23"/>
    <s v="North"/>
    <s v="Marketing"/>
    <s v="Imran"/>
    <s v="Akash"/>
    <s v="Appliances"/>
    <n v="4192"/>
  </r>
  <r>
    <d v="2024-10-06T00:00:00"/>
    <n v="1407"/>
    <n v="215.8"/>
    <n v="23"/>
    <s v="East"/>
    <s v="Marketing"/>
    <s v="Ram"/>
    <s v="Surya"/>
    <s v="Computers"/>
    <n v="1240"/>
  </r>
  <r>
    <d v="2024-09-11T00:00:00"/>
    <n v="568"/>
    <n v="220.65"/>
    <n v="23"/>
    <s v="East"/>
    <s v="Marketing"/>
    <s v="Kishan"/>
    <s v="Bobby"/>
    <s v="Mobiles"/>
    <n v="3170"/>
  </r>
  <r>
    <d v="2025-05-18T00:00:00"/>
    <n v="3684"/>
    <n v="203.60000000000002"/>
    <n v="24"/>
    <s v="West"/>
    <s v="Operations"/>
    <s v="Imran"/>
    <s v="Sunny"/>
    <s v="Machines"/>
    <n v="1738"/>
  </r>
  <r>
    <d v="2025-05-01T00:00:00"/>
    <n v="566"/>
    <n v="182.70000000000002"/>
    <n v="24"/>
    <s v="West"/>
    <s v="Sales"/>
    <s v="Kishan"/>
    <s v="Rohit"/>
    <s v="Machines"/>
    <n v="775"/>
  </r>
  <r>
    <d v="2025-01-06T00:00:00"/>
    <n v="2940"/>
    <n v="37.800000000000004"/>
    <n v="24"/>
    <s v="West"/>
    <s v="Operations"/>
    <s v="Ram"/>
    <s v="Radhe"/>
    <s v="Machines"/>
    <n v="3447"/>
  </r>
  <r>
    <d v="2024-10-10T00:00:00"/>
    <n v="2946"/>
    <n v="17.580000000000002"/>
    <n v="24"/>
    <s v="West"/>
    <s v="Operations"/>
    <s v="Ram"/>
    <s v="Roman"/>
    <s v="Furnitures"/>
    <n v="3691"/>
  </r>
  <r>
    <d v="2024-09-17T00:00:00"/>
    <n v="2838"/>
    <n v="16.46"/>
    <n v="24"/>
    <s v="West"/>
    <s v="Marketing"/>
    <s v="Imran"/>
    <s v="Roman"/>
    <s v="Toys"/>
    <n v="1232"/>
  </r>
  <r>
    <d v="2025-03-28T00:00:00"/>
    <n v="2037"/>
    <n v="47.06"/>
    <n v="24"/>
    <s v="South"/>
    <s v="Operations"/>
    <s v="Imran"/>
    <s v="Sunny"/>
    <s v="Furnitures"/>
    <n v="3146"/>
  </r>
  <r>
    <d v="2025-03-11T00:00:00"/>
    <n v="2553"/>
    <n v="152.35"/>
    <n v="24"/>
    <s v="South"/>
    <s v="Marketing"/>
    <s v="Kishan"/>
    <s v="Akash"/>
    <s v="Appliances"/>
    <n v="1186"/>
  </r>
  <r>
    <d v="2025-02-25T00:00:00"/>
    <n v="2788"/>
    <n v="21.240000000000002"/>
    <n v="24"/>
    <s v="South"/>
    <s v="Marketing"/>
    <s v="Kishan"/>
    <s v="Surya"/>
    <s v="Appliances"/>
    <n v="1322"/>
  </r>
  <r>
    <d v="2024-06-13T00:00:00"/>
    <n v="2519"/>
    <n v="222.8"/>
    <n v="24"/>
    <s v="North"/>
    <s v="Operations"/>
    <s v="Ram"/>
    <s v="Suraj"/>
    <s v="Furnitures"/>
    <n v="965"/>
  </r>
  <r>
    <d v="2024-07-12T00:00:00"/>
    <n v="2041"/>
    <n v="216"/>
    <n v="24"/>
    <s v="East"/>
    <s v="Marketing"/>
    <s v="Imran"/>
    <s v="Reena"/>
    <s v="Toys"/>
    <n v="558"/>
  </r>
  <r>
    <d v="2024-07-07T00:00:00"/>
    <n v="570"/>
    <n v="199.75"/>
    <n v="24"/>
    <s v="East"/>
    <s v="Operations"/>
    <s v="Imran"/>
    <s v="Reena"/>
    <s v="Toys"/>
    <n v="4060"/>
  </r>
  <r>
    <d v="2025-04-05T00:00:00"/>
    <n v="3987"/>
    <n v="11.86"/>
    <n v="25"/>
    <s v="West"/>
    <s v="Marketing"/>
    <s v="Ram"/>
    <s v="Sunny"/>
    <s v="Toys"/>
    <n v="590"/>
  </r>
  <r>
    <d v="2025-02-08T00:00:00"/>
    <n v="1677"/>
    <n v="25.62"/>
    <n v="25"/>
    <s v="South"/>
    <s v="Sales"/>
    <s v="Sham"/>
    <s v="Sunny"/>
    <s v="Toys"/>
    <n v="4114"/>
  </r>
  <r>
    <d v="2024-11-27T00:00:00"/>
    <n v="856"/>
    <n v="216.20000000000002"/>
    <n v="25"/>
    <s v="South"/>
    <s v="Sales"/>
    <s v="Sham"/>
    <s v="Jenny"/>
    <s v="Mobiles"/>
    <n v="3578"/>
  </r>
  <r>
    <d v="2024-11-11T00:00:00"/>
    <n v="2761"/>
    <n v="31.7"/>
    <n v="25"/>
    <s v="South"/>
    <s v="Sales"/>
    <s v="Sham"/>
    <s v="Bobby"/>
    <s v="Furnitures"/>
    <n v="3804"/>
  </r>
  <r>
    <d v="2024-11-03T00:00:00"/>
    <n v="2787"/>
    <n v="12.42"/>
    <n v="25"/>
    <s v="South"/>
    <s v="Marketing"/>
    <s v="Sham"/>
    <s v="Jenny"/>
    <s v="Mobiles"/>
    <n v="1470"/>
  </r>
  <r>
    <d v="2024-08-15T00:00:00"/>
    <n v="1107"/>
    <n v="128"/>
    <n v="25"/>
    <s v="South"/>
    <s v="Operations"/>
    <s v="Sham"/>
    <s v="Radhe"/>
    <s v="Machines"/>
    <n v="2129"/>
  </r>
  <r>
    <d v="2025-02-09T00:00:00"/>
    <n v="886"/>
    <n v="141.75"/>
    <n v="25"/>
    <s v="North"/>
    <s v="Marketing"/>
    <s v="Imran"/>
    <s v="Reena"/>
    <s v="Mobiles"/>
    <n v="904"/>
  </r>
  <r>
    <d v="2025-01-20T00:00:00"/>
    <n v="2411"/>
    <n v="168.8"/>
    <n v="25"/>
    <s v="East"/>
    <s v="Marketing"/>
    <s v="Sham"/>
    <s v="Sunny"/>
    <s v="Machines"/>
    <n v="3681"/>
  </r>
  <r>
    <d v="2024-07-27T00:00:00"/>
    <n v="2457"/>
    <n v="191.4"/>
    <n v="25"/>
    <s v="East"/>
    <s v="Operations"/>
    <s v="Kishan"/>
    <s v="Akash"/>
    <s v="Appliances"/>
    <n v="3517"/>
  </r>
  <r>
    <d v="2024-07-13T00:00:00"/>
    <n v="1623"/>
    <n v="25.78"/>
    <n v="25"/>
    <s v="East"/>
    <s v="Sales"/>
    <s v="Ram"/>
    <s v="Bobby"/>
    <s v="Machines"/>
    <n v="2999"/>
  </r>
  <r>
    <d v="2025-04-10T00:00:00"/>
    <n v="2963"/>
    <n v="212.4"/>
    <n v="26"/>
    <s v="West"/>
    <s v="Marketing"/>
    <s v="Kishan"/>
    <s v="Reena"/>
    <s v="Appliances"/>
    <n v="1745"/>
  </r>
  <r>
    <d v="2025-02-03T00:00:00"/>
    <n v="2545"/>
    <n v="223"/>
    <n v="26"/>
    <s v="West"/>
    <s v="Sales"/>
    <s v="Imran"/>
    <s v="Suraj"/>
    <s v="Furnitures"/>
    <n v="776"/>
  </r>
  <r>
    <d v="2024-11-07T00:00:00"/>
    <n v="537"/>
    <n v="141.30000000000001"/>
    <n v="26"/>
    <s v="West"/>
    <s v="Marketing"/>
    <s v="Sham"/>
    <s v="Raveena"/>
    <s v="Appliances"/>
    <n v="1469"/>
  </r>
  <r>
    <d v="2024-09-24T00:00:00"/>
    <n v="3305"/>
    <n v="24.64"/>
    <n v="26"/>
    <s v="West"/>
    <s v="Sales"/>
    <s v="Kishan"/>
    <s v="Naveen"/>
    <s v="Toys"/>
    <n v="1569"/>
  </r>
  <r>
    <d v="2024-09-14T00:00:00"/>
    <n v="2588"/>
    <n v="240.10000000000002"/>
    <n v="26"/>
    <s v="West"/>
    <s v="Operations"/>
    <s v="Kishan"/>
    <s v="Bobby"/>
    <s v="Furnitures"/>
    <n v="2859"/>
  </r>
  <r>
    <d v="2024-08-18T00:00:00"/>
    <n v="1283"/>
    <n v="214.70000000000002"/>
    <n v="26"/>
    <s v="West"/>
    <s v="Marketing"/>
    <s v="Sham"/>
    <s v="Mohan"/>
    <s v="Machines"/>
    <n v="935"/>
  </r>
  <r>
    <d v="2024-06-21T00:00:00"/>
    <n v="2217"/>
    <n v="126.30000000000001"/>
    <n v="26"/>
    <s v="West"/>
    <s v="Operations"/>
    <s v="Imran"/>
    <s v="Radhe"/>
    <s v="Mobiles"/>
    <n v="903"/>
  </r>
  <r>
    <d v="2025-05-22T00:00:00"/>
    <n v="2740"/>
    <n v="41.68"/>
    <n v="26"/>
    <s v="South"/>
    <s v="Marketing"/>
    <s v="Sham"/>
    <s v="Sunny"/>
    <s v="Mobiles"/>
    <n v="2293"/>
  </r>
  <r>
    <d v="2025-03-07T00:00:00"/>
    <n v="1034"/>
    <n v="42.94"/>
    <n v="26"/>
    <s v="South"/>
    <s v="Operations"/>
    <s v="Ram"/>
    <s v="Suraj"/>
    <s v="Toys"/>
    <n v="3855"/>
  </r>
  <r>
    <d v="2025-01-10T00:00:00"/>
    <n v="2383"/>
    <n v="38.300000000000004"/>
    <n v="26"/>
    <s v="South"/>
    <s v="Marketing"/>
    <s v="Ram"/>
    <s v="Rohit"/>
    <s v="Computers"/>
    <n v="3539"/>
  </r>
  <r>
    <d v="2025-04-21T00:00:00"/>
    <n v="2261"/>
    <n v="129.15"/>
    <n v="26"/>
    <s v="North"/>
    <s v="Sales"/>
    <s v="Ram"/>
    <s v="Naveen"/>
    <s v="Furnitures"/>
    <n v="2805"/>
  </r>
  <r>
    <d v="2024-12-30T00:00:00"/>
    <n v="2085"/>
    <n v="13.22"/>
    <n v="26"/>
    <s v="North"/>
    <s v="Marketing"/>
    <s v="Sham"/>
    <s v="Raveena"/>
    <s v="Mobiles"/>
    <n v="4225"/>
  </r>
  <r>
    <d v="2024-08-10T00:00:00"/>
    <n v="789"/>
    <n v="29.52"/>
    <n v="26"/>
    <s v="East"/>
    <s v="Operations"/>
    <s v="Kishan"/>
    <s v="Suraj"/>
    <s v="Machines"/>
    <n v="3209"/>
  </r>
  <r>
    <d v="2024-07-04T00:00:00"/>
    <n v="1817"/>
    <n v="155"/>
    <n v="26"/>
    <s v="East"/>
    <s v="Marketing"/>
    <s v="Ram"/>
    <s v="Mohan"/>
    <s v="Mobiles"/>
    <n v="2950"/>
  </r>
  <r>
    <d v="2025-04-27T00:00:00"/>
    <n v="535"/>
    <n v="11.46"/>
    <n v="27"/>
    <s v="West"/>
    <s v="Marketing"/>
    <s v="Kishan"/>
    <s v="Reena"/>
    <s v="Furnitures"/>
    <n v="2790"/>
  </r>
  <r>
    <d v="2025-02-24T00:00:00"/>
    <n v="1441"/>
    <n v="228.60000000000002"/>
    <n v="27"/>
    <s v="West"/>
    <s v="Sales"/>
    <s v="Imran"/>
    <s v="Sunny"/>
    <s v="Computers"/>
    <n v="906"/>
  </r>
  <r>
    <d v="2025-01-03T00:00:00"/>
    <n v="1372"/>
    <n v="178.5"/>
    <n v="27"/>
    <s v="West"/>
    <s v="Marketing"/>
    <s v="Kishan"/>
    <s v="Surya"/>
    <s v="Furnitures"/>
    <n v="3374"/>
  </r>
  <r>
    <d v="2024-09-01T00:00:00"/>
    <n v="1959"/>
    <n v="201.3"/>
    <n v="27"/>
    <s v="West"/>
    <s v="Operations"/>
    <s v="Imran"/>
    <s v="Reena"/>
    <s v="Appliances"/>
    <n v="993"/>
  </r>
  <r>
    <d v="2024-12-31T00:00:00"/>
    <n v="3504"/>
    <n v="29.42"/>
    <n v="27"/>
    <s v="South"/>
    <s v="Marketing"/>
    <s v="Kishan"/>
    <s v="Mohan"/>
    <s v="Toys"/>
    <n v="1111"/>
  </r>
  <r>
    <d v="2024-07-02T00:00:00"/>
    <n v="1676"/>
    <n v="153.60000000000002"/>
    <n v="27"/>
    <s v="South"/>
    <s v="Marketing"/>
    <s v="Kishan"/>
    <s v="Akash"/>
    <s v="Appliances"/>
    <n v="2229"/>
  </r>
  <r>
    <d v="2024-12-14T00:00:00"/>
    <n v="3067"/>
    <n v="18.740000000000002"/>
    <n v="27"/>
    <s v="North"/>
    <s v="Marketing"/>
    <s v="Kishan"/>
    <s v="Bobby"/>
    <s v="Appliances"/>
    <n v="1001"/>
  </r>
  <r>
    <d v="2024-11-06T00:00:00"/>
    <n v="1040"/>
    <n v="238.60000000000002"/>
    <n v="27"/>
    <s v="North"/>
    <s v="Sales"/>
    <s v="Kishan"/>
    <s v="Bobby"/>
    <s v="Furnitures"/>
    <n v="4165"/>
  </r>
  <r>
    <d v="2025-04-18T00:00:00"/>
    <n v="1163"/>
    <n v="29.92"/>
    <n v="27"/>
    <s v="East"/>
    <s v="Marketing"/>
    <s v="Kishan"/>
    <s v="Surya"/>
    <s v="Mobiles"/>
    <n v="772"/>
  </r>
  <r>
    <d v="2024-09-13T00:00:00"/>
    <n v="2682"/>
    <n v="193.9"/>
    <n v="27"/>
    <s v="East"/>
    <s v="Operations"/>
    <s v="Imran"/>
    <s v="Mohan"/>
    <s v="Machines"/>
    <n v="1447"/>
  </r>
  <r>
    <d v="2024-06-12T00:00:00"/>
    <n v="1152"/>
    <n v="140.35"/>
    <n v="27"/>
    <s v="East"/>
    <s v="Sales"/>
    <s v="Kishan"/>
    <s v="Akash"/>
    <s v="Toys"/>
    <n v="4014"/>
  </r>
  <r>
    <d v="2024-06-25T00:00:00"/>
    <n v="2940"/>
    <n v="18.86"/>
    <n v="28"/>
    <s v="South"/>
    <s v="Operations"/>
    <s v="Ram"/>
    <s v="Raveena"/>
    <s v="Mobiles"/>
    <n v="3879"/>
  </r>
  <r>
    <d v="2024-12-16T00:00:00"/>
    <n v="1217"/>
    <n v="17.080000000000002"/>
    <n v="28"/>
    <s v="North"/>
    <s v="Operations"/>
    <s v="Kishan"/>
    <s v="Mohan"/>
    <s v="Mobiles"/>
    <n v="2954"/>
  </r>
  <r>
    <d v="2025-05-19T00:00:00"/>
    <n v="2958"/>
    <n v="176.85000000000002"/>
    <n v="28"/>
    <s v="East"/>
    <s v="Marketing"/>
    <s v="Imran"/>
    <s v="Mohan"/>
    <s v="Appliances"/>
    <n v="1020"/>
  </r>
  <r>
    <d v="2025-05-15T00:00:00"/>
    <n v="2675"/>
    <n v="201.05"/>
    <n v="29"/>
    <s v="West"/>
    <s v="Marketing"/>
    <s v="Sham"/>
    <s v="Mohan"/>
    <s v="Toys"/>
    <n v="1474"/>
  </r>
  <r>
    <d v="2025-03-23T00:00:00"/>
    <n v="2679"/>
    <n v="186.15"/>
    <n v="29"/>
    <s v="West"/>
    <s v="Sales"/>
    <s v="Sham"/>
    <s v="Rohit"/>
    <s v="Furnitures"/>
    <n v="2868"/>
  </r>
  <r>
    <d v="2025-05-21T00:00:00"/>
    <n v="3299"/>
    <n v="30.88"/>
    <n v="29"/>
    <s v="South"/>
    <s v="Operations"/>
    <s v="Ram"/>
    <s v="Raveena"/>
    <s v="Furnitures"/>
    <n v="4174"/>
  </r>
  <r>
    <d v="2025-05-08T00:00:00"/>
    <n v="2945"/>
    <n v="18.18"/>
    <n v="29"/>
    <s v="South"/>
    <s v="Marketing"/>
    <s v="Sham"/>
    <s v="Suraj"/>
    <s v="Appliances"/>
    <n v="4276"/>
  </r>
  <r>
    <d v="2024-10-21T00:00:00"/>
    <n v="1305"/>
    <n v="235.60000000000002"/>
    <n v="29"/>
    <s v="North"/>
    <s v="Sales"/>
    <s v="Sham"/>
    <s v="Mohan"/>
    <s v="Mobiles"/>
    <n v="3090"/>
  </r>
  <r>
    <d v="2025-05-17T00:00:00"/>
    <n v="633"/>
    <n v="203.65"/>
    <n v="30"/>
    <s v="West"/>
    <s v="Marketing"/>
    <s v="Imran"/>
    <s v="Naveen"/>
    <s v="Toys"/>
    <n v="4048"/>
  </r>
  <r>
    <d v="2025-04-08T00:00:00"/>
    <n v="2366"/>
    <n v="131.55000000000001"/>
    <n v="30"/>
    <s v="West"/>
    <s v="Operations"/>
    <s v="Kishan"/>
    <s v="Sunny"/>
    <s v="Machines"/>
    <n v="2905"/>
  </r>
  <r>
    <d v="2024-12-28T00:00:00"/>
    <n v="677"/>
    <n v="236.3"/>
    <n v="30"/>
    <s v="West"/>
    <s v="Marketing"/>
    <s v="Imran"/>
    <s v="Naveen"/>
    <s v="Toys"/>
    <n v="3495"/>
  </r>
  <r>
    <d v="2024-10-08T00:00:00"/>
    <n v="2291"/>
    <n v="149.95000000000002"/>
    <n v="30"/>
    <s v="West"/>
    <s v="Sales"/>
    <s v="Imran"/>
    <s v="Akash"/>
    <s v="Appliances"/>
    <n v="2060"/>
  </r>
  <r>
    <d v="2024-11-16T00:00:00"/>
    <n v="1981"/>
    <n v="28.66"/>
    <n v="30"/>
    <s v="South"/>
    <s v="Sales"/>
    <s v="Ram"/>
    <s v="Akash"/>
    <s v="Toys"/>
    <n v="3321"/>
  </r>
  <r>
    <d v="2024-10-22T00:00:00"/>
    <n v="928"/>
    <n v="129.20000000000002"/>
    <n v="30"/>
    <s v="South"/>
    <s v="Marketing"/>
    <s v="Sham"/>
    <s v="Surya"/>
    <s v="Machines"/>
    <n v="1207"/>
  </r>
  <r>
    <d v="2025-04-22T00:00:00"/>
    <n v="3564"/>
    <n v="37.880000000000003"/>
    <n v="30"/>
    <s v="North"/>
    <s v="Sales"/>
    <s v="Ram"/>
    <s v="Reena"/>
    <s v="Mobiles"/>
    <n v="3364"/>
  </r>
  <r>
    <d v="2025-03-01T00:00:00"/>
    <n v="3953"/>
    <n v="47.02"/>
    <n v="30"/>
    <s v="North"/>
    <s v="Sales"/>
    <s v="Kishan"/>
    <s v="Jenny"/>
    <s v="Toys"/>
    <n v="1486"/>
  </r>
  <r>
    <d v="2024-08-28T00:00:00"/>
    <n v="3272"/>
    <n v="127.5"/>
    <n v="30"/>
    <s v="North"/>
    <s v="Operations"/>
    <s v="Kishan"/>
    <s v="Reena"/>
    <s v="Machines"/>
    <n v="3526"/>
  </r>
  <r>
    <d v="2024-07-22T00:00:00"/>
    <n v="952"/>
    <n v="40.42"/>
    <n v="30"/>
    <s v="North"/>
    <s v="Operations"/>
    <s v="Sham"/>
    <s v="Bobby"/>
    <s v="Toys"/>
    <n v="3352"/>
  </r>
  <r>
    <d v="2024-06-29T00:00:00"/>
    <n v="3470"/>
    <n v="145.25"/>
    <n v="30"/>
    <s v="North"/>
    <s v="Marketing"/>
    <s v="Ram"/>
    <s v="Akash"/>
    <s v="Computers"/>
    <n v="3686"/>
  </r>
  <r>
    <d v="2024-11-28T00:00:00"/>
    <n v="601"/>
    <n v="192.75"/>
    <n v="30"/>
    <s v="East"/>
    <s v="Operations"/>
    <s v="Imran"/>
    <s v="Raveena"/>
    <s v="Computers"/>
    <n v="4172"/>
  </r>
  <r>
    <d v="2024-09-04T00:00:00"/>
    <n v="1235"/>
    <n v="24.7"/>
    <n v="30"/>
    <s v="East"/>
    <s v="Marketing"/>
    <s v="Ram"/>
    <s v="Suraj"/>
    <s v="Computers"/>
    <n v="3663"/>
  </r>
  <r>
    <d v="2025-05-09T00:00:00"/>
    <n v="3370"/>
    <n v="26.52"/>
    <n v="31"/>
    <s v="West"/>
    <s v="Sales"/>
    <s v="Ram"/>
    <s v="Naveen"/>
    <s v="Mobiles"/>
    <n v="4172"/>
  </r>
  <r>
    <d v="2024-11-12T00:00:00"/>
    <n v="2752"/>
    <n v="31.42"/>
    <n v="31"/>
    <s v="West"/>
    <s v="Sales"/>
    <s v="Imran"/>
    <s v="Naveen"/>
    <s v="Appliances"/>
    <n v="2841"/>
  </r>
  <r>
    <d v="2024-09-10T00:00:00"/>
    <n v="3708"/>
    <n v="127.15"/>
    <n v="31"/>
    <s v="West"/>
    <s v="Sales"/>
    <s v="Ram"/>
    <s v="Sunny"/>
    <s v="Machines"/>
    <n v="1270"/>
  </r>
  <r>
    <d v="2024-11-19T00:00:00"/>
    <n v="3018"/>
    <n v="198"/>
    <n v="31"/>
    <s v="South"/>
    <s v="Operations"/>
    <s v="Sham"/>
    <s v="Raveena"/>
    <s v="Toys"/>
    <n v="3480"/>
  </r>
  <r>
    <d v="2024-07-25T00:00:00"/>
    <n v="1256"/>
    <n v="220.4"/>
    <n v="31"/>
    <s v="South"/>
    <s v="Marketing"/>
    <s v="Ram"/>
    <s v="Roman"/>
    <s v="Appliances"/>
    <n v="523"/>
  </r>
  <r>
    <d v="2024-07-06T00:00:00"/>
    <n v="959"/>
    <n v="44.78"/>
    <n v="31"/>
    <s v="South"/>
    <s v="Marketing"/>
    <s v="Ram"/>
    <s v="Rohit"/>
    <s v="Appliances"/>
    <n v="4150"/>
  </r>
  <r>
    <d v="2025-03-15T00:00:00"/>
    <n v="3988"/>
    <n v="42.22"/>
    <n v="31"/>
    <s v="North"/>
    <s v="Sales"/>
    <s v="Imran"/>
    <s v="Mohan"/>
    <s v="Furnitures"/>
    <n v="4143"/>
  </r>
  <r>
    <d v="2025-01-15T00:00:00"/>
    <n v="1509"/>
    <n v="21"/>
    <n v="31"/>
    <s v="North"/>
    <s v="Marketing"/>
    <s v="Imran"/>
    <s v="Jenny"/>
    <s v="Mobiles"/>
    <n v="1692"/>
  </r>
  <r>
    <d v="2024-09-26T00:00:00"/>
    <n v="1245"/>
    <n v="136.4"/>
    <n v="31"/>
    <s v="North"/>
    <s v="Operations"/>
    <s v="Ram"/>
    <s v="Suraj"/>
    <s v="Machines"/>
    <n v="3810"/>
  </r>
  <r>
    <d v="2024-08-14T00:00:00"/>
    <n v="3102"/>
    <n v="32.660000000000004"/>
    <n v="31"/>
    <s v="North"/>
    <s v="Sales"/>
    <s v="Sham"/>
    <s v="Surya"/>
    <s v="Mobiles"/>
    <n v="920"/>
  </r>
  <r>
    <d v="2024-09-08T00:00:00"/>
    <n v="538"/>
    <n v="186.95000000000002"/>
    <n v="32"/>
    <s v="West"/>
    <s v="Sales"/>
    <s v="Imran"/>
    <s v="Roman"/>
    <s v="Appliances"/>
    <n v="4285"/>
  </r>
  <r>
    <d v="2025-03-05T00:00:00"/>
    <n v="2178"/>
    <n v="24.14"/>
    <n v="32"/>
    <s v="South"/>
    <s v="Operations"/>
    <s v="Sham"/>
    <s v="Rohit"/>
    <s v="Appliances"/>
    <n v="3951"/>
  </r>
  <r>
    <d v="2025-02-21T00:00:00"/>
    <n v="1438"/>
    <n v="208.3"/>
    <n v="32"/>
    <s v="South"/>
    <s v="Marketing"/>
    <s v="Imran"/>
    <s v="Rohit"/>
    <s v="Toys"/>
    <n v="4286"/>
  </r>
  <r>
    <d v="2025-02-20T00:00:00"/>
    <n v="2699"/>
    <n v="173.20000000000002"/>
    <n v="32"/>
    <s v="South"/>
    <s v="Marketing"/>
    <s v="Imran"/>
    <s v="Naveen"/>
    <s v="Furnitures"/>
    <n v="4131"/>
  </r>
  <r>
    <d v="2024-11-02T00:00:00"/>
    <n v="3949"/>
    <n v="247.20000000000002"/>
    <n v="32"/>
    <s v="South"/>
    <s v="Operations"/>
    <s v="Imran"/>
    <s v="Sunny"/>
    <s v="Computers"/>
    <n v="3212"/>
  </r>
  <r>
    <d v="2024-09-19T00:00:00"/>
    <n v="1056"/>
    <n v="142.6"/>
    <n v="32"/>
    <s v="South"/>
    <s v="Operations"/>
    <s v="Ram"/>
    <s v="Naveen"/>
    <s v="Toys"/>
    <n v="779"/>
  </r>
  <r>
    <d v="2025-04-13T00:00:00"/>
    <n v="2464"/>
    <n v="175.60000000000002"/>
    <n v="32"/>
    <s v="East"/>
    <s v="Marketing"/>
    <s v="Ram"/>
    <s v="Radhe"/>
    <s v="Mobiles"/>
    <n v="3996"/>
  </r>
  <r>
    <d v="2025-01-12T00:00:00"/>
    <n v="2209"/>
    <n v="16.240000000000002"/>
    <n v="32"/>
    <s v="East"/>
    <s v="Sales"/>
    <s v="Ram"/>
    <s v="Surya"/>
    <s v="Furnitures"/>
    <n v="3264"/>
  </r>
  <r>
    <d v="2024-06-28T00:00:00"/>
    <n v="3236"/>
    <n v="126.85000000000001"/>
    <n v="32"/>
    <s v="East"/>
    <s v="Operations"/>
    <s v="Imran"/>
    <s v="Mohan"/>
    <s v="Mobiles"/>
    <n v="757"/>
  </r>
  <r>
    <d v="2025-02-19T00:00:00"/>
    <n v="2987"/>
    <n v="37.36"/>
    <n v="33"/>
    <s v="West"/>
    <s v="Operations"/>
    <s v="Sham"/>
    <s v="Akash"/>
    <s v="Toys"/>
    <n v="3260"/>
  </r>
  <r>
    <d v="2024-12-01T00:00:00"/>
    <n v="3031"/>
    <n v="239.75"/>
    <n v="33"/>
    <s v="West"/>
    <s v="Marketing"/>
    <s v="Ram"/>
    <s v="Suraj"/>
    <s v="Machines"/>
    <n v="3787"/>
  </r>
  <r>
    <d v="2024-06-30T00:00:00"/>
    <n v="1474"/>
    <n v="28.94"/>
    <n v="33"/>
    <s v="West"/>
    <s v="Operations"/>
    <s v="Kishan"/>
    <s v="Suraj"/>
    <s v="Toys"/>
    <n v="3917"/>
  </r>
  <r>
    <d v="2025-02-05T00:00:00"/>
    <n v="1735"/>
    <n v="16.72"/>
    <n v="33"/>
    <s v="South"/>
    <s v="Operations"/>
    <s v="Ram"/>
    <s v="Surya"/>
    <s v="Mobiles"/>
    <n v="615"/>
  </r>
  <r>
    <d v="2024-10-18T00:00:00"/>
    <n v="3659"/>
    <n v="17.14"/>
    <n v="33"/>
    <s v="South"/>
    <s v="Operations"/>
    <s v="Imran"/>
    <s v="Akash"/>
    <s v="Appliances"/>
    <n v="1616"/>
  </r>
  <r>
    <d v="2025-04-17T00:00:00"/>
    <n v="1200"/>
    <n v="20.12"/>
    <n v="33"/>
    <s v="North"/>
    <s v="Operations"/>
    <s v="Sham"/>
    <s v="Roman"/>
    <s v="Mobiles"/>
    <n v="3772"/>
  </r>
  <r>
    <d v="2025-02-06T00:00:00"/>
    <n v="1411"/>
    <n v="213.65"/>
    <n v="33"/>
    <s v="North"/>
    <s v="Marketing"/>
    <s v="Kishan"/>
    <s v="Surya"/>
    <s v="Appliances"/>
    <n v="1330"/>
  </r>
  <r>
    <d v="2025-01-18T00:00:00"/>
    <n v="3941"/>
    <n v="191.25"/>
    <n v="33"/>
    <s v="North"/>
    <s v="Marketing"/>
    <s v="Ram"/>
    <s v="Surya"/>
    <s v="Machines"/>
    <n v="2505"/>
  </r>
  <r>
    <d v="2024-06-17T00:00:00"/>
    <n v="3187"/>
    <n v="225.05"/>
    <n v="34"/>
    <s v="West"/>
    <s v="Sales"/>
    <s v="Kishan"/>
    <s v="Sunny"/>
    <s v="Furnitures"/>
    <n v="882"/>
  </r>
  <r>
    <d v="2025-03-10T00:00:00"/>
    <n v="725"/>
    <n v="135.45000000000002"/>
    <n v="34"/>
    <s v="North"/>
    <s v="Marketing"/>
    <s v="Sham"/>
    <s v="Radhe"/>
    <s v="Mobiles"/>
    <n v="4189"/>
  </r>
  <r>
    <d v="2025-03-03T00:00:00"/>
    <n v="1456"/>
    <n v="13.780000000000001"/>
    <n v="34"/>
    <s v="North"/>
    <s v="Marketing"/>
    <s v="Sham"/>
    <s v="Bobby"/>
    <s v="Computers"/>
    <n v="2197"/>
  </r>
  <r>
    <d v="2024-12-03T00:00:00"/>
    <n v="1583"/>
    <n v="195.3"/>
    <n v="34"/>
    <s v="East"/>
    <s v="Sales"/>
    <s v="Imran"/>
    <s v="Rohit"/>
    <s v="Toys"/>
    <n v="2520"/>
  </r>
  <r>
    <d v="2024-06-14T00:00:00"/>
    <n v="2593"/>
    <n v="23.78"/>
    <n v="34"/>
    <s v="East"/>
    <s v="Sales"/>
    <s v="Ram"/>
    <s v="Raveena"/>
    <s v="Computers"/>
    <n v="3927"/>
  </r>
  <r>
    <d v="2025-03-16T00:00:00"/>
    <n v="2688"/>
    <n v="245.70000000000002"/>
    <n v="35"/>
    <s v="West"/>
    <s v="Operations"/>
    <s v="Ram"/>
    <s v="Rohit"/>
    <s v="Appliances"/>
    <n v="4187"/>
  </r>
  <r>
    <d v="2024-12-22T00:00:00"/>
    <n v="2055"/>
    <n v="150.35"/>
    <n v="35"/>
    <s v="West"/>
    <s v="Operations"/>
    <s v="Sham"/>
    <s v="Sunny"/>
    <s v="Toys"/>
    <n v="3195"/>
  </r>
  <r>
    <d v="2024-08-20T00:00:00"/>
    <n v="3020"/>
    <n v="14.58"/>
    <n v="35"/>
    <s v="West"/>
    <s v="Operations"/>
    <s v="Ram"/>
    <s v="Rohit"/>
    <s v="Appliances"/>
    <n v="3137"/>
  </r>
  <r>
    <d v="2025-01-19T00:00:00"/>
    <n v="2014"/>
    <n v="15.22"/>
    <n v="35"/>
    <s v="North"/>
    <s v="Marketing"/>
    <s v="Sham"/>
    <s v="Raveena"/>
    <s v="Computers"/>
    <n v="3753"/>
  </r>
  <r>
    <d v="2024-06-15T00:00:00"/>
    <n v="2233"/>
    <n v="24.36"/>
    <n v="35"/>
    <s v="East"/>
    <s v="Sales"/>
    <s v="Imran"/>
    <s v="Mohan"/>
    <s v="Toys"/>
    <n v="1955"/>
  </r>
  <r>
    <d v="2024-10-16T00:00:00"/>
    <n v="514"/>
    <n v="179.8"/>
    <n v="36"/>
    <s v="South"/>
    <s v="Marketing"/>
    <s v="Sham"/>
    <s v="Akash"/>
    <s v="Mobiles"/>
    <n v="3997"/>
  </r>
  <r>
    <d v="2025-04-07T00:00:00"/>
    <n v="3296"/>
    <n v="29.8"/>
    <n v="36"/>
    <s v="North"/>
    <s v="Marketing"/>
    <s v="Ram"/>
    <s v="Jenny"/>
    <s v="Machines"/>
    <n v="3409"/>
  </r>
  <r>
    <d v="2024-08-30T00:00:00"/>
    <n v="1263"/>
    <n v="34.32"/>
    <n v="36"/>
    <s v="North"/>
    <s v="Operations"/>
    <s v="Ram"/>
    <s v="Naveen"/>
    <s v="Machines"/>
    <n v="3829"/>
  </r>
  <r>
    <d v="2024-07-29T00:00:00"/>
    <n v="3563"/>
    <n v="34.700000000000003"/>
    <n v="36"/>
    <s v="East"/>
    <s v="Sales"/>
    <s v="Sham"/>
    <s v="Mohan"/>
    <s v="Machines"/>
    <n v="1268"/>
  </r>
  <r>
    <d v="2025-02-26T00:00:00"/>
    <n v="1529"/>
    <n v="223.65"/>
    <n v="37"/>
    <s v="West"/>
    <s v="Marketing"/>
    <s v="Ram"/>
    <s v="Naveen"/>
    <s v="Computers"/>
    <n v="3879"/>
  </r>
  <r>
    <d v="2025-01-30T00:00:00"/>
    <n v="3503"/>
    <n v="179.25"/>
    <n v="37"/>
    <s v="West"/>
    <s v="Operations"/>
    <s v="Sham"/>
    <s v="Raveena"/>
    <s v="Toys"/>
    <n v="3799"/>
  </r>
  <r>
    <d v="2025-04-06T00:00:00"/>
    <n v="1078"/>
    <n v="131.65"/>
    <n v="37"/>
    <s v="South"/>
    <s v="Operations"/>
    <s v="Kishan"/>
    <s v="Sunny"/>
    <s v="Computers"/>
    <n v="2094"/>
  </r>
  <r>
    <d v="2025-03-18T00:00:00"/>
    <n v="2883"/>
    <n v="37.300000000000004"/>
    <n v="37"/>
    <s v="South"/>
    <s v="Sales"/>
    <s v="Kishan"/>
    <s v="Radhe"/>
    <s v="Computers"/>
    <n v="3656"/>
  </r>
  <r>
    <d v="2024-09-15T00:00:00"/>
    <n v="2397"/>
    <n v="216.45000000000002"/>
    <n v="37"/>
    <s v="South"/>
    <s v="Marketing"/>
    <s v="Imran"/>
    <s v="Raveena"/>
    <s v="Appliances"/>
    <n v="1940"/>
  </r>
  <r>
    <d v="2025-05-03T00:00:00"/>
    <n v="1287"/>
    <n v="180.55"/>
    <n v="37"/>
    <s v="North"/>
    <s v="Sales"/>
    <s v="Imran"/>
    <s v="Surya"/>
    <s v="Furnitures"/>
    <n v="3916"/>
  </r>
  <r>
    <d v="2024-12-05T00:00:00"/>
    <n v="2907"/>
    <n v="204.3"/>
    <n v="37"/>
    <s v="North"/>
    <s v="Sales"/>
    <s v="Imran"/>
    <s v="Sunny"/>
    <s v="Furnitures"/>
    <n v="630"/>
  </r>
  <r>
    <d v="2024-07-24T00:00:00"/>
    <n v="3337"/>
    <n v="43.02"/>
    <n v="37"/>
    <s v="North"/>
    <s v="Operations"/>
    <s v="Imran"/>
    <s v="Surya"/>
    <s v="Machines"/>
    <n v="2367"/>
  </r>
  <r>
    <d v="2025-05-07T00:00:00"/>
    <n v="2233"/>
    <n v="249.70000000000002"/>
    <n v="37"/>
    <s v="East"/>
    <s v="Operations"/>
    <s v="Ram"/>
    <s v="Bobby"/>
    <s v="Mobiles"/>
    <n v="3317"/>
  </r>
  <r>
    <d v="2025-04-24T00:00:00"/>
    <n v="3616"/>
    <n v="26.42"/>
    <n v="37"/>
    <s v="East"/>
    <s v="Operations"/>
    <s v="Imran"/>
    <s v="Naveen"/>
    <s v="Computers"/>
    <n v="2651"/>
  </r>
  <r>
    <d v="2025-01-24T00:00:00"/>
    <n v="2980"/>
    <n v="150.20000000000002"/>
    <n v="37"/>
    <s v="East"/>
    <s v="Marketing"/>
    <s v="Kishan"/>
    <s v="Radhe"/>
    <s v="Appliances"/>
    <n v="3762"/>
  </r>
  <r>
    <d v="2024-11-08T00:00:00"/>
    <n v="1462"/>
    <n v="32"/>
    <n v="37"/>
    <s v="East"/>
    <s v="Marketing"/>
    <s v="Imran"/>
    <s v="Mohan"/>
    <s v="Appliances"/>
    <n v="3985"/>
  </r>
  <r>
    <d v="2025-03-17T00:00:00"/>
    <n v="2345"/>
    <n v="45.6"/>
    <n v="38"/>
    <s v="West"/>
    <s v="Marketing"/>
    <s v="Ram"/>
    <s v="Suraj"/>
    <s v="Machines"/>
    <n v="4167"/>
  </r>
  <r>
    <d v="2024-12-20T00:00:00"/>
    <n v="1592"/>
    <n v="238.85000000000002"/>
    <n v="38"/>
    <s v="West"/>
    <s v="Marketing"/>
    <s v="Ram"/>
    <s v="Naveen"/>
    <s v="Toys"/>
    <n v="2539"/>
  </r>
  <r>
    <d v="2024-11-20T00:00:00"/>
    <n v="690"/>
    <n v="217.25"/>
    <n v="38"/>
    <s v="West"/>
    <s v="Operations"/>
    <s v="Sham"/>
    <s v="Mohan"/>
    <s v="Appliances"/>
    <n v="1503"/>
  </r>
  <r>
    <d v="2024-09-02T00:00:00"/>
    <n v="976"/>
    <n v="43.86"/>
    <n v="38"/>
    <s v="West"/>
    <s v="Operations"/>
    <s v="Sham"/>
    <s v="Roman"/>
    <s v="Computers"/>
    <n v="1841"/>
  </r>
  <r>
    <d v="2025-05-20T00:00:00"/>
    <n v="1962"/>
    <n v="131.4"/>
    <n v="38"/>
    <s v="South"/>
    <s v="Sales"/>
    <s v="Imran"/>
    <s v="Rohit"/>
    <s v="Toys"/>
    <n v="1221"/>
  </r>
  <r>
    <d v="2025-02-27T00:00:00"/>
    <n v="2854"/>
    <n v="41.04"/>
    <n v="38"/>
    <s v="East"/>
    <s v="Marketing"/>
    <s v="Kishan"/>
    <s v="Surya"/>
    <s v="Computers"/>
    <n v="769"/>
  </r>
  <r>
    <d v="2024-12-24T00:00:00"/>
    <n v="911"/>
    <n v="195.95000000000002"/>
    <n v="38"/>
    <s v="East"/>
    <s v="Sales"/>
    <s v="Sham"/>
    <s v="Sunny"/>
    <s v="Computers"/>
    <n v="3940"/>
  </r>
  <r>
    <d v="2024-10-25T00:00:00"/>
    <n v="1239"/>
    <n v="173.8"/>
    <n v="38"/>
    <s v="East"/>
    <s v="Sales"/>
    <s v="Imran"/>
    <s v="Akash"/>
    <s v="Furnitures"/>
    <n v="3755"/>
  </r>
  <r>
    <d v="2024-09-30T00:00:00"/>
    <n v="2607"/>
    <n v="248.05"/>
    <n v="39"/>
    <s v="West"/>
    <s v="Marketing"/>
    <s v="Imran"/>
    <s v="Roman"/>
    <s v="Appliances"/>
    <n v="2218"/>
  </r>
  <r>
    <d v="2025-05-14T00:00:00"/>
    <n v="2713"/>
    <n v="45.64"/>
    <n v="39"/>
    <s v="South"/>
    <s v="Marketing"/>
    <s v="Ram"/>
    <s v="Naveen"/>
    <s v="Appliances"/>
    <n v="3009"/>
  </r>
  <r>
    <d v="2025-01-07T00:00:00"/>
    <n v="3843"/>
    <n v="144.20000000000002"/>
    <n v="39"/>
    <s v="South"/>
    <s v="Sales"/>
    <s v="Ram"/>
    <s v="Akash"/>
    <s v="Mobiles"/>
    <n v="2354"/>
  </r>
  <r>
    <d v="2024-11-17T00:00:00"/>
    <n v="1419"/>
    <n v="40.06"/>
    <n v="39"/>
    <s v="South"/>
    <s v="Marketing"/>
    <s v="Imran"/>
    <s v="Mohan"/>
    <s v="Mobiles"/>
    <n v="4247"/>
  </r>
  <r>
    <d v="2024-10-24T00:00:00"/>
    <n v="1620"/>
    <n v="186.20000000000002"/>
    <n v="39"/>
    <s v="North"/>
    <s v="Marketing"/>
    <s v="Ram"/>
    <s v="Akash"/>
    <s v="Machines"/>
    <n v="4037"/>
  </r>
  <r>
    <d v="2025-03-30T00:00:00"/>
    <n v="2921"/>
    <n v="189.35000000000002"/>
    <n v="39"/>
    <s v="East"/>
    <s v="Marketing"/>
    <s v="Imran"/>
    <s v="Radhe"/>
    <s v="Mobiles"/>
    <n v="771"/>
  </r>
  <r>
    <d v="2024-09-03T00:00:00"/>
    <n v="2345"/>
    <n v="33.68"/>
    <n v="39"/>
    <s v="East"/>
    <s v="Sales"/>
    <s v="Kishan"/>
    <s v="Bobby"/>
    <s v="Mobiles"/>
    <n v="968"/>
  </r>
  <r>
    <d v="2024-11-18T00:00:00"/>
    <n v="3914"/>
    <n v="220.55"/>
    <n v="40"/>
    <s v="West"/>
    <s v="Operations"/>
    <s v="Kishan"/>
    <s v="Akash"/>
    <s v="Furnitures"/>
    <n v="3833"/>
  </r>
  <r>
    <d v="2024-11-05T00:00:00"/>
    <n v="3168"/>
    <n v="167.8"/>
    <n v="40"/>
    <s v="West"/>
    <s v="Sales"/>
    <s v="Ram"/>
    <s v="Sunny"/>
    <s v="Mobiles"/>
    <n v="1016"/>
  </r>
  <r>
    <d v="2024-09-09T00:00:00"/>
    <n v="2558"/>
    <n v="17.64"/>
    <n v="40"/>
    <s v="West"/>
    <s v="Sales"/>
    <s v="Sham"/>
    <s v="Naveen"/>
    <s v="Computers"/>
    <n v="753"/>
  </r>
  <r>
    <d v="2025-05-12T00:00:00"/>
    <n v="3386"/>
    <n v="166.5"/>
    <n v="40"/>
    <s v="South"/>
    <s v="Operations"/>
    <s v="Imran"/>
    <s v="Naveen"/>
    <s v="Appliances"/>
    <n v="3463"/>
  </r>
  <r>
    <d v="2024-11-13T00:00:00"/>
    <n v="1755"/>
    <n v="22.96"/>
    <n v="40"/>
    <s v="South"/>
    <s v="Sales"/>
    <s v="Imran"/>
    <s v="Naveen"/>
    <s v="Machines"/>
    <n v="1021"/>
  </r>
  <r>
    <d v="2025-03-06T00:00:00"/>
    <n v="518"/>
    <n v="134.5"/>
    <n v="40"/>
    <s v="North"/>
    <s v="Sales"/>
    <s v="Kishan"/>
    <s v="Mohan"/>
    <s v="Computers"/>
    <n v="3425"/>
  </r>
  <r>
    <d v="2024-06-18T00:00:00"/>
    <n v="3194"/>
    <n v="176.70000000000002"/>
    <n v="40"/>
    <s v="North"/>
    <s v="Sales"/>
    <s v="Imran"/>
    <s v="Suraj"/>
    <s v="Appliances"/>
    <n v="2921"/>
  </r>
  <r>
    <d v="2024-08-13T00:00:00"/>
    <n v="1285"/>
    <n v="28"/>
    <n v="40"/>
    <s v="East"/>
    <s v="Operations"/>
    <s v="Sham"/>
    <s v="Mohan"/>
    <s v="Toys"/>
    <n v="1289"/>
  </r>
  <r>
    <d v="2025-05-06T00:00:00"/>
    <n v="1669"/>
    <n v="249.3"/>
    <n v="41"/>
    <s v="West"/>
    <s v="Sales"/>
    <s v="Sham"/>
    <s v="Akash"/>
    <s v="Machines"/>
    <n v="3981"/>
  </r>
  <r>
    <d v="2024-09-29T00:00:00"/>
    <n v="1395"/>
    <n v="49.86"/>
    <n v="41"/>
    <s v="West"/>
    <s v="Operations"/>
    <s v="Sham"/>
    <s v="Jenny"/>
    <s v="Furnitures"/>
    <n v="2414"/>
  </r>
  <r>
    <d v="2024-07-26T00:00:00"/>
    <n v="3584"/>
    <n v="165.8"/>
    <n v="41"/>
    <s v="West"/>
    <s v="Marketing"/>
    <s v="Ram"/>
    <s v="Rohit"/>
    <s v="Machines"/>
    <n v="1562"/>
  </r>
  <r>
    <d v="2025-04-04T00:00:00"/>
    <n v="2379"/>
    <n v="240.05"/>
    <n v="41"/>
    <s v="South"/>
    <s v="Sales"/>
    <s v="Kishan"/>
    <s v="Roman"/>
    <s v="Mobiles"/>
    <n v="3717"/>
  </r>
  <r>
    <d v="2024-08-12T00:00:00"/>
    <n v="1157"/>
    <n v="22.38"/>
    <n v="41"/>
    <s v="South"/>
    <s v="Operations"/>
    <s v="Ram"/>
    <s v="Naveen"/>
    <s v="Mobiles"/>
    <n v="3399"/>
  </r>
  <r>
    <d v="2025-05-02T00:00:00"/>
    <n v="2894"/>
    <n v="197.35000000000002"/>
    <n v="41"/>
    <s v="North"/>
    <s v="Operations"/>
    <s v="Sham"/>
    <s v="Suraj"/>
    <s v="Furnitures"/>
    <n v="2971"/>
  </r>
  <r>
    <d v="2025-04-30T00:00:00"/>
    <n v="1787"/>
    <n v="158.9"/>
    <n v="41"/>
    <s v="North"/>
    <s v="Operations"/>
    <s v="Imran"/>
    <s v="Raveena"/>
    <s v="Appliances"/>
    <n v="2055"/>
  </r>
  <r>
    <d v="2025-04-16T00:00:00"/>
    <n v="3451"/>
    <n v="174.45000000000002"/>
    <n v="41"/>
    <s v="North"/>
    <s v="Marketing"/>
    <s v="Sham"/>
    <s v="Roman"/>
    <s v="Machines"/>
    <n v="4296"/>
  </r>
  <r>
    <d v="2025-03-29T00:00:00"/>
    <n v="1348"/>
    <n v="33.1"/>
    <n v="41"/>
    <s v="North"/>
    <s v="Marketing"/>
    <s v="Sham"/>
    <s v="Naveen"/>
    <s v="Furnitures"/>
    <n v="2457"/>
  </r>
  <r>
    <d v="2024-11-24T00:00:00"/>
    <n v="3689"/>
    <n v="140.6"/>
    <n v="41"/>
    <s v="North"/>
    <s v="Marketing"/>
    <s v="Kishan"/>
    <s v="Bobby"/>
    <s v="Toys"/>
    <n v="1390"/>
  </r>
  <r>
    <d v="2024-06-16T00:00:00"/>
    <n v="3144"/>
    <n v="218.9"/>
    <n v="41"/>
    <s v="North"/>
    <s v="Sales"/>
    <s v="Sham"/>
    <s v="Rohit"/>
    <s v="Appliances"/>
    <n v="504"/>
  </r>
  <r>
    <d v="2024-08-16T00:00:00"/>
    <n v="1971"/>
    <n v="183.70000000000002"/>
    <n v="41"/>
    <s v="East"/>
    <s v="Operations"/>
    <s v="Kishan"/>
    <s v="Raveena"/>
    <s v="Mobiles"/>
    <n v="3646"/>
  </r>
  <r>
    <d v="2025-02-12T00:00:00"/>
    <n v="2533"/>
    <n v="30.26"/>
    <n v="42"/>
    <s v="West"/>
    <s v="Operations"/>
    <s v="Ram"/>
    <s v="Radhe"/>
    <s v="Mobiles"/>
    <n v="2616"/>
  </r>
  <r>
    <d v="2024-10-28T00:00:00"/>
    <n v="666"/>
    <n v="230.8"/>
    <n v="42"/>
    <s v="West"/>
    <s v="Operations"/>
    <s v="Sham"/>
    <s v="Suraj"/>
    <s v="Furnitures"/>
    <n v="2610"/>
  </r>
  <r>
    <d v="2024-08-11T00:00:00"/>
    <n v="3665"/>
    <n v="23.5"/>
    <n v="42"/>
    <s v="West"/>
    <s v="Operations"/>
    <s v="Imran"/>
    <s v="Jenny"/>
    <s v="Appliances"/>
    <n v="1603"/>
  </r>
  <r>
    <d v="2024-06-22T00:00:00"/>
    <n v="3112"/>
    <n v="24.32"/>
    <n v="42"/>
    <s v="South"/>
    <s v="Marketing"/>
    <s v="Sham"/>
    <s v="Sunny"/>
    <s v="Machines"/>
    <n v="3208"/>
  </r>
  <r>
    <d v="2025-01-14T00:00:00"/>
    <n v="3667"/>
    <n v="41.34"/>
    <n v="42"/>
    <s v="North"/>
    <s v="Sales"/>
    <s v="Sham"/>
    <s v="Roman"/>
    <s v="Computers"/>
    <n v="2692"/>
  </r>
  <r>
    <d v="2024-11-09T00:00:00"/>
    <n v="564"/>
    <n v="215.95000000000002"/>
    <n v="42"/>
    <s v="North"/>
    <s v="Sales"/>
    <s v="Imran"/>
    <s v="Jenny"/>
    <s v="Furnitures"/>
    <n v="684"/>
  </r>
  <r>
    <d v="2024-07-14T00:00:00"/>
    <n v="2422"/>
    <n v="213.45000000000002"/>
    <n v="42"/>
    <s v="North"/>
    <s v="Sales"/>
    <s v="Ram"/>
    <s v="Suraj"/>
    <s v="Toys"/>
    <n v="1493"/>
  </r>
  <r>
    <d v="2024-07-03T00:00:00"/>
    <n v="3423"/>
    <n v="20.38"/>
    <n v="42"/>
    <s v="North"/>
    <s v="Marketing"/>
    <s v="Ram"/>
    <s v="Raveena"/>
    <s v="Appliances"/>
    <n v="2343"/>
  </r>
  <r>
    <d v="2024-11-01T00:00:00"/>
    <n v="2732"/>
    <n v="174.05"/>
    <n v="42"/>
    <s v="East"/>
    <s v="Operations"/>
    <s v="Kishan"/>
    <s v="Suraj"/>
    <s v="Computers"/>
    <n v="2933"/>
  </r>
  <r>
    <d v="2024-10-30T00:00:00"/>
    <n v="3320"/>
    <n v="223.5"/>
    <n v="42"/>
    <s v="East"/>
    <s v="Operations"/>
    <s v="Imran"/>
    <s v="Surya"/>
    <s v="Machines"/>
    <n v="983"/>
  </r>
  <r>
    <d v="2024-07-16T00:00:00"/>
    <n v="3077"/>
    <n v="242.3"/>
    <n v="42"/>
    <s v="East"/>
    <s v="Marketing"/>
    <s v="Sham"/>
    <s v="Reena"/>
    <s v="Computers"/>
    <n v="3715"/>
  </r>
  <r>
    <d v="2024-06-10T00:00:00"/>
    <n v="3694"/>
    <n v="47.78"/>
    <n v="42"/>
    <s v="East"/>
    <s v="Operations"/>
    <s v="Sham"/>
    <s v="Mohan"/>
    <s v="Machines"/>
    <n v="2486"/>
  </r>
  <r>
    <d v="2024-10-17T00:00:00"/>
    <n v="1220"/>
    <n v="218.3"/>
    <n v="43"/>
    <s v="West"/>
    <s v="Sales"/>
    <s v="Ram"/>
    <s v="Reena"/>
    <s v="Appliances"/>
    <n v="832"/>
  </r>
  <r>
    <d v="2024-07-21T00:00:00"/>
    <n v="1023"/>
    <n v="160.10000000000002"/>
    <n v="43"/>
    <s v="West"/>
    <s v="Marketing"/>
    <s v="Kishan"/>
    <s v="Suraj"/>
    <s v="Computers"/>
    <n v="3691"/>
  </r>
  <r>
    <d v="2025-01-28T00:00:00"/>
    <n v="1695"/>
    <n v="219.35000000000002"/>
    <n v="43"/>
    <s v="South"/>
    <s v="Sales"/>
    <s v="Ram"/>
    <s v="Rohit"/>
    <s v="Furnitures"/>
    <n v="1783"/>
  </r>
  <r>
    <d v="2024-10-15T00:00:00"/>
    <n v="3165"/>
    <n v="47.84"/>
    <n v="43"/>
    <s v="South"/>
    <s v="Operations"/>
    <s v="Imran"/>
    <s v="Reena"/>
    <s v="Computers"/>
    <n v="1370"/>
  </r>
  <r>
    <d v="2025-04-01T00:00:00"/>
    <n v="533"/>
    <n v="244.8"/>
    <n v="43"/>
    <s v="North"/>
    <s v="Marketing"/>
    <s v="Kishan"/>
    <s v="Sunny"/>
    <s v="Computers"/>
    <n v="2766"/>
  </r>
  <r>
    <d v="2025-05-10T00:00:00"/>
    <n v="1174"/>
    <n v="44"/>
    <n v="43"/>
    <s v="East"/>
    <s v="Sales"/>
    <s v="Imran"/>
    <s v="Bobby"/>
    <s v="Computers"/>
    <n v="2150"/>
  </r>
  <r>
    <d v="2025-02-14T00:00:00"/>
    <n v="3047"/>
    <n v="149.9"/>
    <n v="43"/>
    <s v="East"/>
    <s v="Marketing"/>
    <s v="Sham"/>
    <s v="Reena"/>
    <s v="Machines"/>
    <n v="650"/>
  </r>
  <r>
    <d v="2025-02-10T00:00:00"/>
    <n v="3630"/>
    <n v="166.4"/>
    <n v="43"/>
    <s v="East"/>
    <s v="Marketing"/>
    <s v="Ram"/>
    <s v="Roman"/>
    <s v="Appliances"/>
    <n v="1998"/>
  </r>
  <r>
    <d v="2025-01-11T00:00:00"/>
    <n v="3975"/>
    <n v="196.20000000000002"/>
    <n v="43"/>
    <s v="East"/>
    <s v="Operations"/>
    <s v="Kishan"/>
    <s v="Akash"/>
    <s v="Computers"/>
    <n v="1923"/>
  </r>
  <r>
    <d v="2025-01-05T00:00:00"/>
    <n v="2387"/>
    <n v="31.42"/>
    <n v="43"/>
    <s v="East"/>
    <s v="Marketing"/>
    <s v="Ram"/>
    <s v="Jenny"/>
    <s v="Mobiles"/>
    <n v="2602"/>
  </r>
  <r>
    <d v="2025-01-01T00:00:00"/>
    <n v="3037"/>
    <n v="25.26"/>
    <n v="43"/>
    <s v="East"/>
    <s v="Operations"/>
    <s v="Kishan"/>
    <s v="Reena"/>
    <s v="Furnitures"/>
    <n v="2570"/>
  </r>
  <r>
    <d v="2024-12-12T00:00:00"/>
    <n v="783"/>
    <n v="244"/>
    <n v="43"/>
    <s v="East"/>
    <s v="Marketing"/>
    <s v="Sham"/>
    <s v="Jenny"/>
    <s v="Furnitures"/>
    <n v="3135"/>
  </r>
  <r>
    <d v="2025-04-19T00:00:00"/>
    <n v="3502"/>
    <n v="46.54"/>
    <n v="44"/>
    <s v="West"/>
    <s v="Sales"/>
    <s v="Kishan"/>
    <s v="Rohit"/>
    <s v="Mobiles"/>
    <n v="894"/>
  </r>
  <r>
    <d v="2025-01-21T00:00:00"/>
    <n v="1183"/>
    <n v="38.44"/>
    <n v="44"/>
    <s v="West"/>
    <s v="Operations"/>
    <s v="Kishan"/>
    <s v="Raveena"/>
    <s v="Appliances"/>
    <n v="1838"/>
  </r>
  <r>
    <d v="2025-01-02T00:00:00"/>
    <n v="2432"/>
    <n v="150.65"/>
    <n v="44"/>
    <s v="West"/>
    <s v="Marketing"/>
    <s v="Kishan"/>
    <s v="Bobby"/>
    <s v="Furnitures"/>
    <n v="3000"/>
  </r>
  <r>
    <d v="2024-06-20T00:00:00"/>
    <n v="2817"/>
    <n v="16.68"/>
    <n v="44"/>
    <s v="West"/>
    <s v="Operations"/>
    <s v="Imran"/>
    <s v="Raveena"/>
    <s v="Furnitures"/>
    <n v="2071"/>
  </r>
  <r>
    <d v="2024-10-03T00:00:00"/>
    <n v="3731"/>
    <n v="206.55"/>
    <n v="44"/>
    <s v="South"/>
    <s v="Operations"/>
    <s v="Ram"/>
    <s v="Reena"/>
    <s v="Toys"/>
    <n v="586"/>
  </r>
  <r>
    <d v="2024-10-01T00:00:00"/>
    <n v="3689"/>
    <n v="11.16"/>
    <n v="44"/>
    <s v="South"/>
    <s v="Sales"/>
    <s v="Sham"/>
    <s v="Raveena"/>
    <s v="Toys"/>
    <n v="2354"/>
  </r>
  <r>
    <d v="2024-06-26T00:00:00"/>
    <n v="3986"/>
    <n v="37.200000000000003"/>
    <n v="44"/>
    <s v="South"/>
    <s v="Sales"/>
    <s v="Kishan"/>
    <s v="Reena"/>
    <s v="Mobiles"/>
    <n v="1741"/>
  </r>
  <r>
    <d v="2024-10-05T00:00:00"/>
    <n v="2254"/>
    <n v="171.45000000000002"/>
    <n v="44"/>
    <s v="North"/>
    <s v="Operations"/>
    <s v="Sham"/>
    <s v="Rohit"/>
    <s v="Furnitures"/>
    <n v="2457"/>
  </r>
  <r>
    <d v="2024-08-07T00:00:00"/>
    <n v="1679"/>
    <n v="32.299999999999997"/>
    <n v="44"/>
    <s v="North"/>
    <s v="Operations"/>
    <s v="Kishan"/>
    <s v="Akash"/>
    <s v="Toys"/>
    <n v="2775"/>
  </r>
  <r>
    <d v="2025-04-20T00:00:00"/>
    <n v="2276"/>
    <n v="144.85"/>
    <n v="45"/>
    <s v="West"/>
    <s v="Operations"/>
    <s v="Ram"/>
    <s v="Bobby"/>
    <s v="Mobiles"/>
    <n v="1244"/>
  </r>
  <r>
    <d v="2025-04-09T00:00:00"/>
    <n v="1027"/>
    <n v="211.3"/>
    <n v="45"/>
    <s v="South"/>
    <s v="Sales"/>
    <s v="Imran"/>
    <s v="Mohan"/>
    <s v="Toys"/>
    <n v="4009"/>
  </r>
  <r>
    <d v="2024-09-23T00:00:00"/>
    <n v="1914"/>
    <n v="28.96"/>
    <n v="45"/>
    <s v="North"/>
    <s v="Sales"/>
    <s v="Sham"/>
    <s v="Akash"/>
    <s v="Appliances"/>
    <n v="4243"/>
  </r>
  <r>
    <d v="2024-11-26T00:00:00"/>
    <n v="3501"/>
    <n v="48.980000000000004"/>
    <n v="45"/>
    <s v="East"/>
    <s v="Marketing"/>
    <s v="Sham"/>
    <s v="Naveen"/>
    <s v="Furnitures"/>
    <n v="3017"/>
  </r>
  <r>
    <d v="2024-12-09T00:00:00"/>
    <n v="3560"/>
    <n v="228.9"/>
    <n v="46"/>
    <s v="West"/>
    <s v="Sales"/>
    <s v="Imran"/>
    <s v="Surya"/>
    <s v="Toys"/>
    <n v="3784"/>
  </r>
  <r>
    <d v="2024-10-23T00:00:00"/>
    <n v="1521"/>
    <n v="145.4"/>
    <n v="46"/>
    <s v="West"/>
    <s v="Sales"/>
    <s v="Kishan"/>
    <s v="Rohit"/>
    <s v="Machines"/>
    <n v="1577"/>
  </r>
  <r>
    <d v="2025-03-20T00:00:00"/>
    <n v="1581"/>
    <n v="48.800000000000004"/>
    <n v="46"/>
    <s v="South"/>
    <s v="Sales"/>
    <s v="Kishan"/>
    <s v="Naveen"/>
    <s v="Machines"/>
    <n v="1286"/>
  </r>
  <r>
    <d v="2024-12-21T00:00:00"/>
    <n v="2954"/>
    <n v="164.05"/>
    <n v="46"/>
    <s v="East"/>
    <s v="Marketing"/>
    <s v="Kishan"/>
    <s v="Sunny"/>
    <s v="Appliances"/>
    <n v="1488"/>
  </r>
  <r>
    <d v="2025-04-14T00:00:00"/>
    <n v="2126"/>
    <n v="197.3"/>
    <n v="47"/>
    <s v="West"/>
    <s v="Operations"/>
    <s v="Imran"/>
    <s v="Rohit"/>
    <s v="Appliances"/>
    <n v="2357"/>
  </r>
  <r>
    <d v="2025-03-26T00:00:00"/>
    <n v="3990"/>
    <n v="179.25"/>
    <n v="47"/>
    <s v="West"/>
    <s v="Operations"/>
    <s v="Kishan"/>
    <s v="Suraj"/>
    <s v="Furnitures"/>
    <n v="926"/>
  </r>
  <r>
    <d v="2024-12-15T00:00:00"/>
    <n v="2581"/>
    <n v="38.18"/>
    <n v="47"/>
    <s v="West"/>
    <s v="Sales"/>
    <s v="Sham"/>
    <s v="Surya"/>
    <s v="Toys"/>
    <n v="4041"/>
  </r>
  <r>
    <d v="2024-11-04T00:00:00"/>
    <n v="552"/>
    <n v="29.76"/>
    <n v="47"/>
    <s v="West"/>
    <s v="Operations"/>
    <s v="Kishan"/>
    <s v="Suraj"/>
    <s v="Computers"/>
    <n v="1741"/>
  </r>
  <r>
    <d v="2024-10-04T00:00:00"/>
    <n v="1447"/>
    <n v="131.05000000000001"/>
    <n v="47"/>
    <s v="West"/>
    <s v="Sales"/>
    <s v="Kishan"/>
    <s v="Reena"/>
    <s v="Computers"/>
    <n v="1483"/>
  </r>
  <r>
    <d v="2025-04-11T00:00:00"/>
    <n v="2125"/>
    <n v="41.980000000000004"/>
    <n v="47"/>
    <s v="South"/>
    <s v="Sales"/>
    <s v="Imran"/>
    <s v="Sunny"/>
    <s v="Machines"/>
    <n v="3807"/>
  </r>
  <r>
    <d v="2025-03-02T00:00:00"/>
    <n v="1880"/>
    <n v="20.36"/>
    <n v="47"/>
    <s v="South"/>
    <s v="Sales"/>
    <s v="Kishan"/>
    <s v="Radhe"/>
    <s v="Machines"/>
    <n v="3289"/>
  </r>
  <r>
    <d v="2024-08-22T00:00:00"/>
    <n v="1824"/>
    <n v="10.52"/>
    <n v="47"/>
    <s v="South"/>
    <s v="Operations"/>
    <s v="Kishan"/>
    <s v="Suraj"/>
    <s v="Machines"/>
    <n v="2672"/>
  </r>
  <r>
    <d v="2025-02-11T00:00:00"/>
    <n v="2119"/>
    <n v="150.85"/>
    <n v="47"/>
    <s v="East"/>
    <s v="Operations"/>
    <s v="Imran"/>
    <s v="Surya"/>
    <s v="Appliances"/>
    <n v="1897"/>
  </r>
  <r>
    <d v="2025-02-04T00:00:00"/>
    <n v="798"/>
    <n v="153.05000000000001"/>
    <n v="47"/>
    <s v="East"/>
    <s v="Marketing"/>
    <s v="Ram"/>
    <s v="Rohit"/>
    <s v="Furnitures"/>
    <n v="1774"/>
  </r>
  <r>
    <d v="2025-01-31T00:00:00"/>
    <n v="3645"/>
    <n v="188.25"/>
    <n v="47"/>
    <s v="East"/>
    <s v="Marketing"/>
    <s v="Kishan"/>
    <s v="Raveena"/>
    <s v="Furnitures"/>
    <n v="2675"/>
  </r>
  <r>
    <d v="2024-09-07T00:00:00"/>
    <n v="1784"/>
    <n v="149.9"/>
    <n v="47"/>
    <s v="East"/>
    <s v="Sales"/>
    <s v="Ram"/>
    <s v="Sunny"/>
    <s v="Appliances"/>
    <n v="2814"/>
  </r>
  <r>
    <d v="2025-04-03T00:00:00"/>
    <n v="864"/>
    <n v="11.38"/>
    <n v="48"/>
    <s v="West"/>
    <s v="Operations"/>
    <s v="Sham"/>
    <s v="Suraj"/>
    <s v="Computers"/>
    <n v="3649"/>
  </r>
  <r>
    <d v="2025-03-27T00:00:00"/>
    <n v="3020"/>
    <n v="190.25"/>
    <n v="48"/>
    <s v="South"/>
    <s v="Marketing"/>
    <s v="Kishan"/>
    <s v="Sunny"/>
    <s v="Machines"/>
    <n v="3798"/>
  </r>
  <r>
    <d v="2024-11-23T00:00:00"/>
    <n v="1348"/>
    <n v="29.38"/>
    <n v="48"/>
    <s v="South"/>
    <s v="Marketing"/>
    <s v="Kishan"/>
    <s v="Sunny"/>
    <s v="Furnitures"/>
    <n v="2647"/>
  </r>
  <r>
    <d v="2024-10-11T00:00:00"/>
    <n v="2646"/>
    <n v="34.340000000000003"/>
    <n v="48"/>
    <s v="South"/>
    <s v="Operations"/>
    <s v="Ram"/>
    <s v="Bobby"/>
    <s v="Toys"/>
    <n v="2662"/>
  </r>
  <r>
    <d v="2024-10-09T00:00:00"/>
    <n v="2644"/>
    <n v="17.84"/>
    <n v="48"/>
    <s v="South"/>
    <s v="Sales"/>
    <s v="Sham"/>
    <s v="Naveen"/>
    <s v="Toys"/>
    <n v="2194"/>
  </r>
  <r>
    <d v="2024-09-16T00:00:00"/>
    <n v="3293"/>
    <n v="49.58"/>
    <n v="48"/>
    <s v="South"/>
    <s v="Operations"/>
    <s v="Kishan"/>
    <s v="Bobby"/>
    <s v="Machines"/>
    <n v="3397"/>
  </r>
  <r>
    <d v="2025-02-16T00:00:00"/>
    <n v="3057"/>
    <n v="43.5"/>
    <n v="48"/>
    <s v="North"/>
    <s v="Sales"/>
    <s v="Sham"/>
    <s v="Radhe"/>
    <s v="Appliances"/>
    <n v="1648"/>
  </r>
  <r>
    <d v="2025-02-02T00:00:00"/>
    <n v="3969"/>
    <n v="11.78"/>
    <n v="48"/>
    <s v="North"/>
    <s v="Marketing"/>
    <s v="Kishan"/>
    <s v="Reena"/>
    <s v="Appliances"/>
    <n v="2396"/>
  </r>
  <r>
    <d v="2024-12-04T00:00:00"/>
    <n v="3734"/>
    <n v="15.96"/>
    <n v="48"/>
    <s v="North"/>
    <s v="Sales"/>
    <s v="Sham"/>
    <s v="Sunny"/>
    <s v="Machines"/>
    <n v="2381"/>
  </r>
  <r>
    <d v="2024-11-29T00:00:00"/>
    <n v="1615"/>
    <n v="190.05"/>
    <n v="48"/>
    <s v="North"/>
    <s v="Marketing"/>
    <s v="Kishan"/>
    <s v="Mohan"/>
    <s v="Mobiles"/>
    <n v="2724"/>
  </r>
  <r>
    <d v="2024-10-19T00:00:00"/>
    <n v="3384"/>
    <n v="208.35000000000002"/>
    <n v="48"/>
    <s v="North"/>
    <s v="Operations"/>
    <s v="Sham"/>
    <s v="Radhe"/>
    <s v="Mobiles"/>
    <n v="4295"/>
  </r>
  <r>
    <d v="2024-09-25T00:00:00"/>
    <n v="2335"/>
    <n v="191.5"/>
    <n v="48"/>
    <s v="North"/>
    <s v="Sales"/>
    <s v="Ram"/>
    <s v="Surya"/>
    <s v="Appliances"/>
    <n v="690"/>
  </r>
  <r>
    <d v="2024-08-01T00:00:00"/>
    <n v="2742"/>
    <n v="28.14"/>
    <n v="48"/>
    <s v="North"/>
    <s v="Marketing"/>
    <s v="Sham"/>
    <s v="Jenny"/>
    <s v="Computers"/>
    <n v="2989"/>
  </r>
  <r>
    <d v="2024-06-27T00:00:00"/>
    <n v="728"/>
    <n v="171.85000000000002"/>
    <n v="48"/>
    <s v="North"/>
    <s v="Operations"/>
    <s v="Ram"/>
    <s v="Roman"/>
    <s v="Appliances"/>
    <n v="2615"/>
  </r>
  <r>
    <d v="2024-09-28T00:00:00"/>
    <n v="2360"/>
    <n v="145.6"/>
    <n v="49"/>
    <s v="West"/>
    <s v="Sales"/>
    <s v="Kishan"/>
    <s v="Suraj"/>
    <s v="Furnitures"/>
    <n v="2920"/>
  </r>
  <r>
    <d v="2025-04-02T00:00:00"/>
    <n v="1750"/>
    <n v="125.7"/>
    <n v="49"/>
    <s v="South"/>
    <s v="Marketing"/>
    <s v="Kishan"/>
    <s v="Surya"/>
    <s v="Furnitures"/>
    <n v="503"/>
  </r>
  <r>
    <d v="2024-12-19T00:00:00"/>
    <n v="3302"/>
    <n v="161.9"/>
    <n v="49"/>
    <s v="South"/>
    <s v="Operations"/>
    <s v="Kishan"/>
    <s v="Suraj"/>
    <s v="Machines"/>
    <n v="4192"/>
  </r>
  <r>
    <d v="2024-09-05T00:00:00"/>
    <n v="3506"/>
    <n v="156.20000000000002"/>
    <n v="49"/>
    <s v="South"/>
    <s v="Marketing"/>
    <s v="Kishan"/>
    <s v="Rohit"/>
    <s v="Furnitures"/>
    <n v="2512"/>
  </r>
  <r>
    <d v="2024-08-23T00:00:00"/>
    <n v="2559"/>
    <n v="204.65"/>
    <n v="49"/>
    <s v="South"/>
    <s v="Operations"/>
    <s v="Sham"/>
    <s v="Roman"/>
    <s v="Machines"/>
    <n v="675"/>
  </r>
  <r>
    <d v="2024-08-21T00:00:00"/>
    <n v="2867"/>
    <n v="210.75"/>
    <n v="49"/>
    <s v="South"/>
    <s v="Marketing"/>
    <s v="Sham"/>
    <s v="Suraj"/>
    <s v="Mobiles"/>
    <n v="1046"/>
  </r>
  <r>
    <d v="2024-08-02T00:00:00"/>
    <n v="1480"/>
    <n v="25.12"/>
    <n v="49"/>
    <s v="South"/>
    <s v="Operations"/>
    <s v="Sham"/>
    <s v="Radhe"/>
    <s v="Toys"/>
    <n v="704"/>
  </r>
  <r>
    <d v="2024-07-23T00:00:00"/>
    <n v="2165"/>
    <n v="211.25"/>
    <n v="49"/>
    <s v="South"/>
    <s v="Operations"/>
    <s v="Kishan"/>
    <s v="Surya"/>
    <s v="Furnitures"/>
    <n v="2741"/>
  </r>
  <r>
    <d v="2025-05-04T00:00:00"/>
    <n v="787"/>
    <n v="44.68"/>
    <n v="49"/>
    <s v="East"/>
    <s v="Sales"/>
    <s v="Imran"/>
    <s v="Radhe"/>
    <s v="Furnitures"/>
    <n v="1618"/>
  </r>
  <r>
    <d v="2024-10-26T00:00:00"/>
    <n v="3191"/>
    <n v="193.25"/>
    <n v="50"/>
    <s v="West"/>
    <s v="Operations"/>
    <s v="Kishan"/>
    <s v="Bobby"/>
    <s v="Toys"/>
    <n v="1163"/>
  </r>
  <r>
    <d v="2024-08-24T00:00:00"/>
    <n v="1425"/>
    <n v="23.14"/>
    <n v="50"/>
    <s v="West"/>
    <s v="Sales"/>
    <s v="Sham"/>
    <s v="Bobby"/>
    <s v="Computers"/>
    <n v="3916"/>
  </r>
  <r>
    <d v="2024-12-25T00:00:00"/>
    <n v="3790"/>
    <n v="33.619999999999997"/>
    <n v="50"/>
    <s v="South"/>
    <s v="Sales"/>
    <s v="Sham"/>
    <s v="Radhe"/>
    <s v="Mobiles"/>
    <n v="2990"/>
  </r>
  <r>
    <d v="2024-08-31T00:00:00"/>
    <n v="3962"/>
    <n v="201.9"/>
    <n v="50"/>
    <s v="South"/>
    <s v="Sales"/>
    <s v="Kishan"/>
    <s v="Bobby"/>
    <s v="Appliances"/>
    <n v="3137"/>
  </r>
  <r>
    <d v="2024-06-11T00:00:00"/>
    <n v="2282"/>
    <n v="15.38"/>
    <n v="50"/>
    <s v="South"/>
    <s v="Operations"/>
    <s v="Sham"/>
    <s v="Suraj"/>
    <s v="Computers"/>
    <n v="1720"/>
  </r>
  <r>
    <d v="2025-04-29T00:00:00"/>
    <n v="2829"/>
    <n v="42.26"/>
    <n v="50"/>
    <s v="North"/>
    <s v="Sales"/>
    <s v="Ram"/>
    <s v="Radhe"/>
    <s v="Furnitures"/>
    <n v="3785"/>
  </r>
  <r>
    <d v="2025-03-24T00:00:00"/>
    <n v="1364"/>
    <n v="35.1"/>
    <n v="50"/>
    <s v="North"/>
    <s v="Sales"/>
    <s v="Kishan"/>
    <s v="Raveena"/>
    <s v="Appliances"/>
    <n v="561"/>
  </r>
  <r>
    <d v="2024-10-31T00:00:00"/>
    <n v="1966"/>
    <n v="29.28"/>
    <n v="50"/>
    <s v="North"/>
    <s v="Sales"/>
    <s v="Ram"/>
    <s v="Raveena"/>
    <s v="Mobiles"/>
    <n v="1283"/>
  </r>
  <r>
    <d v="2025-03-13T00:00:00"/>
    <n v="2017"/>
    <n v="155.9"/>
    <n v="50"/>
    <s v="East"/>
    <s v="Marketing"/>
    <s v="Kishan"/>
    <s v="Mohan"/>
    <s v="Computers"/>
    <n v="939"/>
  </r>
  <r>
    <d v="2024-09-22T00:00:00"/>
    <n v="3443"/>
    <n v="149.45000000000002"/>
    <n v="50"/>
    <s v="East"/>
    <s v="Operations"/>
    <s v="Ram"/>
    <s v="Akash"/>
    <s v="Mobiles"/>
    <n v="157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n v="2200"/>
    <n v="245.10000000000002"/>
    <n v="10"/>
    <x v="0"/>
    <x v="0"/>
    <x v="0"/>
    <s v="Sunny"/>
    <x v="0"/>
    <n v="2719"/>
    <x v="0"/>
    <n v="2025"/>
  </r>
  <r>
    <d v="2024-07-15T00:00:00"/>
    <n v="2075"/>
    <n v="175.9"/>
    <n v="10"/>
    <x v="0"/>
    <x v="1"/>
    <x v="1"/>
    <s v="Reena"/>
    <x v="1"/>
    <n v="2080"/>
    <x v="1"/>
    <n v="2024"/>
  </r>
  <r>
    <d v="2025-04-25T00:00:00"/>
    <n v="2788"/>
    <n v="179.60000000000002"/>
    <n v="10"/>
    <x v="1"/>
    <x v="0"/>
    <x v="1"/>
    <s v="Rohit"/>
    <x v="2"/>
    <n v="4094"/>
    <x v="2"/>
    <n v="2025"/>
  </r>
  <r>
    <d v="2025-02-17T00:00:00"/>
    <n v="3290"/>
    <n v="15.96"/>
    <n v="10"/>
    <x v="1"/>
    <x v="0"/>
    <x v="2"/>
    <s v="Surya"/>
    <x v="3"/>
    <n v="1500"/>
    <x v="3"/>
    <n v="2025"/>
  </r>
  <r>
    <d v="2024-12-02T00:00:00"/>
    <n v="2172"/>
    <n v="48.2"/>
    <n v="10"/>
    <x v="1"/>
    <x v="1"/>
    <x v="1"/>
    <s v="Naveen"/>
    <x v="4"/>
    <n v="1293"/>
    <x v="4"/>
    <n v="2024"/>
  </r>
  <r>
    <d v="2025-01-04T00:00:00"/>
    <n v="591"/>
    <n v="15.08"/>
    <n v="10"/>
    <x v="2"/>
    <x v="1"/>
    <x v="0"/>
    <s v="Radhe"/>
    <x v="2"/>
    <n v="3592"/>
    <x v="0"/>
    <n v="2025"/>
  </r>
  <r>
    <d v="2025-04-28T00:00:00"/>
    <n v="3892"/>
    <n v="42.74"/>
    <n v="11"/>
    <x v="3"/>
    <x v="2"/>
    <x v="3"/>
    <s v="Bobby"/>
    <x v="0"/>
    <n v="1298"/>
    <x v="2"/>
    <n v="2025"/>
  </r>
  <r>
    <d v="2024-12-17T00:00:00"/>
    <n v="1363"/>
    <n v="131.15"/>
    <n v="11"/>
    <x v="0"/>
    <x v="1"/>
    <x v="0"/>
    <s v="Rohit"/>
    <x v="0"/>
    <n v="500"/>
    <x v="4"/>
    <n v="2024"/>
  </r>
  <r>
    <d v="2024-12-10T00:00:00"/>
    <n v="611"/>
    <n v="47.300000000000004"/>
    <n v="11"/>
    <x v="0"/>
    <x v="0"/>
    <x v="3"/>
    <s v="Raveena"/>
    <x v="2"/>
    <n v="740"/>
    <x v="4"/>
    <n v="2024"/>
  </r>
  <r>
    <d v="2024-07-09T00:00:00"/>
    <n v="3584"/>
    <n v="33.32"/>
    <n v="11"/>
    <x v="0"/>
    <x v="2"/>
    <x v="0"/>
    <s v="Mohan"/>
    <x v="5"/>
    <n v="827"/>
    <x v="1"/>
    <n v="2024"/>
  </r>
  <r>
    <d v="2024-08-03T00:00:00"/>
    <n v="1075"/>
    <n v="31.48"/>
    <n v="12"/>
    <x v="3"/>
    <x v="2"/>
    <x v="1"/>
    <s v="Suraj"/>
    <x v="2"/>
    <n v="639"/>
    <x v="5"/>
    <n v="2024"/>
  </r>
  <r>
    <d v="2024-06-09T00:00:00"/>
    <n v="1083"/>
    <n v="38.660000000000004"/>
    <n v="12"/>
    <x v="3"/>
    <x v="1"/>
    <x v="1"/>
    <s v="Radhe"/>
    <x v="3"/>
    <n v="2943"/>
    <x v="6"/>
    <n v="2024"/>
  </r>
  <r>
    <d v="2025-03-08T00:00:00"/>
    <n v="1476"/>
    <n v="229.3"/>
    <n v="12"/>
    <x v="1"/>
    <x v="2"/>
    <x v="1"/>
    <s v="Surya"/>
    <x v="2"/>
    <n v="2416"/>
    <x v="7"/>
    <n v="2025"/>
  </r>
  <r>
    <d v="2024-10-13T00:00:00"/>
    <n v="2000"/>
    <n v="228.05"/>
    <n v="12"/>
    <x v="2"/>
    <x v="1"/>
    <x v="3"/>
    <s v="Surya"/>
    <x v="0"/>
    <n v="1838"/>
    <x v="8"/>
    <n v="2024"/>
  </r>
  <r>
    <d v="2024-10-07T00:00:00"/>
    <n v="1008"/>
    <n v="139.1"/>
    <n v="12"/>
    <x v="2"/>
    <x v="1"/>
    <x v="1"/>
    <s v="Raveena"/>
    <x v="3"/>
    <n v="967"/>
    <x v="8"/>
    <n v="2024"/>
  </r>
  <r>
    <d v="2024-07-05T00:00:00"/>
    <n v="2642"/>
    <n v="199.70000000000002"/>
    <n v="13"/>
    <x v="3"/>
    <x v="0"/>
    <x v="3"/>
    <s v="Reena"/>
    <x v="1"/>
    <n v="600"/>
    <x v="1"/>
    <n v="2024"/>
  </r>
  <r>
    <d v="2024-07-30T00:00:00"/>
    <n v="2500"/>
    <n v="11.66"/>
    <n v="13"/>
    <x v="0"/>
    <x v="0"/>
    <x v="2"/>
    <s v="Raveena"/>
    <x v="3"/>
    <n v="2811"/>
    <x v="1"/>
    <n v="2024"/>
  </r>
  <r>
    <d v="2024-06-23T00:00:00"/>
    <n v="1151"/>
    <n v="211.10000000000002"/>
    <n v="13"/>
    <x v="0"/>
    <x v="1"/>
    <x v="3"/>
    <s v="Jenny"/>
    <x v="4"/>
    <n v="2500"/>
    <x v="6"/>
    <n v="2024"/>
  </r>
  <r>
    <d v="2025-02-15T00:00:00"/>
    <n v="3862"/>
    <n v="37.160000000000004"/>
    <n v="13"/>
    <x v="1"/>
    <x v="0"/>
    <x v="1"/>
    <s v="Reena"/>
    <x v="5"/>
    <n v="1574"/>
    <x v="3"/>
    <n v="2025"/>
  </r>
  <r>
    <d v="2025-01-13T00:00:00"/>
    <n v="6000"/>
    <n v="174.70000000000002"/>
    <n v="13"/>
    <x v="1"/>
    <x v="1"/>
    <x v="2"/>
    <s v="Jenny"/>
    <x v="0"/>
    <n v="568"/>
    <x v="0"/>
    <n v="2025"/>
  </r>
  <r>
    <d v="2024-07-18T00:00:00"/>
    <n v="3764"/>
    <n v="47.480000000000004"/>
    <n v="13"/>
    <x v="1"/>
    <x v="0"/>
    <x v="2"/>
    <s v="Bobby"/>
    <x v="3"/>
    <n v="3241"/>
    <x v="1"/>
    <n v="2024"/>
  </r>
  <r>
    <d v="2024-09-20T00:00:00"/>
    <n v="1397"/>
    <n v="133.65"/>
    <n v="13"/>
    <x v="2"/>
    <x v="2"/>
    <x v="1"/>
    <s v="Sunny"/>
    <x v="1"/>
    <n v="2802"/>
    <x v="9"/>
    <n v="2024"/>
  </r>
  <r>
    <d v="2024-08-05T00:00:00"/>
    <n v="2113"/>
    <n v="34.82"/>
    <n v="13"/>
    <x v="2"/>
    <x v="0"/>
    <x v="2"/>
    <s v="Suraj"/>
    <x v="0"/>
    <n v="3895"/>
    <x v="5"/>
    <n v="2024"/>
  </r>
  <r>
    <d v="2025-02-07T00:00:00"/>
    <n v="1636"/>
    <n v="149.9"/>
    <n v="14"/>
    <x v="3"/>
    <x v="2"/>
    <x v="0"/>
    <s v="Rohit"/>
    <x v="1"/>
    <n v="3512"/>
    <x v="3"/>
    <n v="2025"/>
  </r>
  <r>
    <d v="2025-05-11T00:00:00"/>
    <n v="3781"/>
    <n v="24.52"/>
    <n v="14"/>
    <x v="0"/>
    <x v="2"/>
    <x v="1"/>
    <s v="Reena"/>
    <x v="1"/>
    <n v="553"/>
    <x v="10"/>
    <n v="2025"/>
  </r>
  <r>
    <d v="2025-03-12T00:00:00"/>
    <n v="734"/>
    <n v="228.45000000000002"/>
    <n v="14"/>
    <x v="0"/>
    <x v="1"/>
    <x v="0"/>
    <s v="Reena"/>
    <x v="2"/>
    <n v="3440"/>
    <x v="7"/>
    <n v="2025"/>
  </r>
  <r>
    <d v="2025-01-29T00:00:00"/>
    <n v="3142"/>
    <n v="13.86"/>
    <n v="14"/>
    <x v="0"/>
    <x v="1"/>
    <x v="1"/>
    <s v="Rohit"/>
    <x v="5"/>
    <n v="4066"/>
    <x v="0"/>
    <n v="2025"/>
  </r>
  <r>
    <d v="2024-07-19T00:00:00"/>
    <n v="1284"/>
    <n v="138.45000000000002"/>
    <n v="14"/>
    <x v="0"/>
    <x v="1"/>
    <x v="0"/>
    <s v="Radhe"/>
    <x v="3"/>
    <n v="1476"/>
    <x v="1"/>
    <n v="2024"/>
  </r>
  <r>
    <d v="2025-01-22T00:00:00"/>
    <n v="3854"/>
    <n v="30.7"/>
    <n v="14"/>
    <x v="1"/>
    <x v="2"/>
    <x v="3"/>
    <s v="Mohan"/>
    <x v="3"/>
    <n v="1543"/>
    <x v="0"/>
    <n v="2025"/>
  </r>
  <r>
    <d v="2024-12-11T00:00:00"/>
    <n v="1549"/>
    <n v="149.70000000000002"/>
    <n v="14"/>
    <x v="1"/>
    <x v="1"/>
    <x v="2"/>
    <s v="Radhe"/>
    <x v="5"/>
    <n v="3693"/>
    <x v="4"/>
    <n v="2024"/>
  </r>
  <r>
    <d v="2024-09-12T00:00:00"/>
    <n v="1973"/>
    <n v="205.70000000000002"/>
    <n v="14"/>
    <x v="1"/>
    <x v="0"/>
    <x v="3"/>
    <s v="Suraj"/>
    <x v="1"/>
    <n v="2819"/>
    <x v="9"/>
    <n v="2024"/>
  </r>
  <r>
    <d v="2024-08-17T00:00:00"/>
    <n v="2205"/>
    <n v="12.120000000000001"/>
    <n v="14"/>
    <x v="1"/>
    <x v="2"/>
    <x v="1"/>
    <s v="Bobby"/>
    <x v="0"/>
    <n v="3994"/>
    <x v="5"/>
    <n v="2024"/>
  </r>
  <r>
    <d v="2024-07-20T00:00:00"/>
    <n v="2792"/>
    <n v="39.24"/>
    <n v="14"/>
    <x v="1"/>
    <x v="1"/>
    <x v="3"/>
    <s v="Akash"/>
    <x v="1"/>
    <n v="2249"/>
    <x v="1"/>
    <n v="2024"/>
  </r>
  <r>
    <d v="2025-03-04T00:00:00"/>
    <n v="760"/>
    <n v="45.72"/>
    <n v="14"/>
    <x v="2"/>
    <x v="2"/>
    <x v="2"/>
    <s v="Raveena"/>
    <x v="4"/>
    <n v="1201"/>
    <x v="7"/>
    <n v="2025"/>
  </r>
  <r>
    <d v="2025-01-23T00:00:00"/>
    <n v="1722"/>
    <n v="153.20000000000002"/>
    <n v="14"/>
    <x v="2"/>
    <x v="2"/>
    <x v="3"/>
    <s v="Sunny"/>
    <x v="1"/>
    <n v="2614"/>
    <x v="0"/>
    <n v="2025"/>
  </r>
  <r>
    <d v="2024-12-13T00:00:00"/>
    <n v="1678"/>
    <n v="167.70000000000002"/>
    <n v="14"/>
    <x v="2"/>
    <x v="1"/>
    <x v="2"/>
    <s v="Roman"/>
    <x v="4"/>
    <n v="1905"/>
    <x v="4"/>
    <n v="2024"/>
  </r>
  <r>
    <d v="2024-06-19T00:00:00"/>
    <n v="1474"/>
    <n v="14.56"/>
    <n v="15"/>
    <x v="3"/>
    <x v="0"/>
    <x v="0"/>
    <s v="Rohit"/>
    <x v="0"/>
    <n v="1816"/>
    <x v="6"/>
    <n v="2024"/>
  </r>
  <r>
    <d v="2025-05-05T00:00:00"/>
    <n v="3335"/>
    <n v="148.25"/>
    <n v="15"/>
    <x v="0"/>
    <x v="1"/>
    <x v="3"/>
    <s v="Reena"/>
    <x v="0"/>
    <n v="2203"/>
    <x v="10"/>
    <n v="2025"/>
  </r>
  <r>
    <d v="2024-08-25T00:00:00"/>
    <n v="2257"/>
    <n v="12.26"/>
    <n v="15"/>
    <x v="1"/>
    <x v="2"/>
    <x v="0"/>
    <s v="Akash"/>
    <x v="5"/>
    <n v="2131"/>
    <x v="5"/>
    <n v="2024"/>
  </r>
  <r>
    <d v="2025-03-25T00:00:00"/>
    <n v="2231"/>
    <n v="49.32"/>
    <n v="16"/>
    <x v="3"/>
    <x v="2"/>
    <x v="0"/>
    <s v="Mohan"/>
    <x v="1"/>
    <n v="2364"/>
    <x v="7"/>
    <n v="2025"/>
  </r>
  <r>
    <d v="2025-03-19T00:00:00"/>
    <n v="2631"/>
    <n v="220.60000000000002"/>
    <n v="16"/>
    <x v="3"/>
    <x v="2"/>
    <x v="3"/>
    <s v="Raveena"/>
    <x v="1"/>
    <n v="3343"/>
    <x v="7"/>
    <n v="2025"/>
  </r>
  <r>
    <d v="2024-09-06T00:00:00"/>
    <n v="2912"/>
    <n v="39.54"/>
    <n v="16"/>
    <x v="3"/>
    <x v="2"/>
    <x v="0"/>
    <s v="Sunny"/>
    <x v="5"/>
    <n v="4252"/>
    <x v="9"/>
    <n v="2024"/>
  </r>
  <r>
    <d v="2024-10-14T00:00:00"/>
    <n v="3489"/>
    <n v="163.5"/>
    <n v="16"/>
    <x v="0"/>
    <x v="2"/>
    <x v="1"/>
    <s v="Rohit"/>
    <x v="0"/>
    <n v="891"/>
    <x v="8"/>
    <n v="2024"/>
  </r>
  <r>
    <d v="2024-07-11T00:00:00"/>
    <n v="717"/>
    <n v="40.619999999999997"/>
    <n v="16"/>
    <x v="0"/>
    <x v="0"/>
    <x v="3"/>
    <s v="Raveena"/>
    <x v="0"/>
    <n v="2892"/>
    <x v="1"/>
    <n v="2024"/>
  </r>
  <r>
    <d v="2024-12-08T00:00:00"/>
    <n v="1379"/>
    <n v="213.35000000000002"/>
    <n v="16"/>
    <x v="1"/>
    <x v="0"/>
    <x v="0"/>
    <s v="Naveen"/>
    <x v="1"/>
    <n v="2109"/>
    <x v="4"/>
    <n v="2024"/>
  </r>
  <r>
    <d v="2024-11-30T00:00:00"/>
    <n v="1339"/>
    <n v="137.35"/>
    <n v="16"/>
    <x v="1"/>
    <x v="0"/>
    <x v="0"/>
    <s v="Sunny"/>
    <x v="4"/>
    <n v="4235"/>
    <x v="11"/>
    <n v="2024"/>
  </r>
  <r>
    <d v="2024-11-25T00:00:00"/>
    <n v="1423"/>
    <n v="129.05000000000001"/>
    <n v="16"/>
    <x v="1"/>
    <x v="0"/>
    <x v="3"/>
    <s v="Jenny"/>
    <x v="4"/>
    <n v="2468"/>
    <x v="11"/>
    <n v="2024"/>
  </r>
  <r>
    <d v="2024-10-27T00:00:00"/>
    <n v="2844"/>
    <n v="147.30000000000001"/>
    <n v="16"/>
    <x v="1"/>
    <x v="0"/>
    <x v="1"/>
    <s v="Raveena"/>
    <x v="0"/>
    <n v="1707"/>
    <x v="8"/>
    <n v="2024"/>
  </r>
  <r>
    <d v="2025-03-31T00:00:00"/>
    <n v="2417"/>
    <n v="225.9"/>
    <n v="16"/>
    <x v="2"/>
    <x v="2"/>
    <x v="2"/>
    <s v="Mohan"/>
    <x v="3"/>
    <n v="3261"/>
    <x v="7"/>
    <n v="2025"/>
  </r>
  <r>
    <d v="2025-02-23T00:00:00"/>
    <n v="796"/>
    <n v="177.3"/>
    <n v="16"/>
    <x v="2"/>
    <x v="2"/>
    <x v="0"/>
    <s v="Reena"/>
    <x v="1"/>
    <n v="2480"/>
    <x v="3"/>
    <n v="2025"/>
  </r>
  <r>
    <d v="2025-02-01T00:00:00"/>
    <n v="676"/>
    <n v="128.35"/>
    <n v="16"/>
    <x v="2"/>
    <x v="0"/>
    <x v="2"/>
    <s v="Roman"/>
    <x v="0"/>
    <n v="4127"/>
    <x v="3"/>
    <n v="2025"/>
  </r>
  <r>
    <d v="2025-01-27T00:00:00"/>
    <n v="1856"/>
    <n v="37.480000000000004"/>
    <n v="16"/>
    <x v="2"/>
    <x v="1"/>
    <x v="1"/>
    <s v="Suraj"/>
    <x v="4"/>
    <n v="2816"/>
    <x v="0"/>
    <n v="2025"/>
  </r>
  <r>
    <d v="2025-01-25T00:00:00"/>
    <n v="2367"/>
    <n v="208.5"/>
    <n v="17"/>
    <x v="3"/>
    <x v="0"/>
    <x v="2"/>
    <s v="Bobby"/>
    <x v="3"/>
    <n v="1662"/>
    <x v="0"/>
    <n v="2025"/>
  </r>
  <r>
    <d v="2024-12-27T00:00:00"/>
    <n v="3103"/>
    <n v="14.38"/>
    <n v="17"/>
    <x v="3"/>
    <x v="2"/>
    <x v="3"/>
    <s v="Radhe"/>
    <x v="3"/>
    <n v="3251"/>
    <x v="4"/>
    <n v="2024"/>
  </r>
  <r>
    <d v="2024-08-09T00:00:00"/>
    <n v="2623"/>
    <n v="164.45000000000002"/>
    <n v="17"/>
    <x v="3"/>
    <x v="1"/>
    <x v="2"/>
    <s v="Mohan"/>
    <x v="5"/>
    <n v="1081"/>
    <x v="5"/>
    <n v="2024"/>
  </r>
  <r>
    <d v="2025-01-17T00:00:00"/>
    <n v="3101"/>
    <n v="213.8"/>
    <n v="17"/>
    <x v="0"/>
    <x v="1"/>
    <x v="1"/>
    <s v="Akash"/>
    <x v="3"/>
    <n v="2663"/>
    <x v="0"/>
    <n v="2025"/>
  </r>
  <r>
    <d v="2024-08-27T00:00:00"/>
    <n v="2441"/>
    <n v="160.65"/>
    <n v="17"/>
    <x v="0"/>
    <x v="0"/>
    <x v="1"/>
    <s v="Surya"/>
    <x v="5"/>
    <n v="1823"/>
    <x v="5"/>
    <n v="2024"/>
  </r>
  <r>
    <d v="2025-04-12T00:00:00"/>
    <n v="2210"/>
    <n v="48.14"/>
    <n v="17"/>
    <x v="2"/>
    <x v="1"/>
    <x v="0"/>
    <s v="Sunny"/>
    <x v="0"/>
    <n v="2610"/>
    <x v="2"/>
    <n v="2025"/>
  </r>
  <r>
    <d v="2024-12-18T00:00:00"/>
    <n v="2134"/>
    <n v="30.560000000000002"/>
    <n v="17"/>
    <x v="2"/>
    <x v="1"/>
    <x v="1"/>
    <s v="Reena"/>
    <x v="4"/>
    <n v="832"/>
    <x v="4"/>
    <n v="2024"/>
  </r>
  <r>
    <d v="2025-03-22T00:00:00"/>
    <n v="3354"/>
    <n v="151.75"/>
    <n v="18"/>
    <x v="3"/>
    <x v="0"/>
    <x v="0"/>
    <s v="Radhe"/>
    <x v="0"/>
    <n v="4139"/>
    <x v="7"/>
    <n v="2025"/>
  </r>
  <r>
    <d v="2024-11-14T00:00:00"/>
    <n v="1886"/>
    <n v="35.96"/>
    <n v="18"/>
    <x v="0"/>
    <x v="2"/>
    <x v="3"/>
    <s v="Roman"/>
    <x v="2"/>
    <n v="1771"/>
    <x v="11"/>
    <n v="2024"/>
  </r>
  <r>
    <d v="2025-04-26T00:00:00"/>
    <n v="2703"/>
    <n v="154.65"/>
    <n v="18"/>
    <x v="1"/>
    <x v="0"/>
    <x v="2"/>
    <s v="Jenny"/>
    <x v="0"/>
    <n v="906"/>
    <x v="2"/>
    <n v="2025"/>
  </r>
  <r>
    <d v="2024-12-07T00:00:00"/>
    <n v="3537"/>
    <n v="148.6"/>
    <n v="18"/>
    <x v="1"/>
    <x v="1"/>
    <x v="2"/>
    <s v="Akash"/>
    <x v="5"/>
    <n v="3426"/>
    <x v="4"/>
    <n v="2024"/>
  </r>
  <r>
    <d v="2024-09-18T00:00:00"/>
    <n v="3209"/>
    <n v="29.1"/>
    <n v="18"/>
    <x v="1"/>
    <x v="2"/>
    <x v="0"/>
    <s v="Radhe"/>
    <x v="5"/>
    <n v="2835"/>
    <x v="9"/>
    <n v="2024"/>
  </r>
  <r>
    <d v="2025-03-21T00:00:00"/>
    <n v="604"/>
    <n v="14.620000000000001"/>
    <n v="18"/>
    <x v="2"/>
    <x v="1"/>
    <x v="0"/>
    <s v="Raveena"/>
    <x v="5"/>
    <n v="860"/>
    <x v="7"/>
    <n v="2025"/>
  </r>
  <r>
    <d v="2024-11-15T00:00:00"/>
    <n v="1543"/>
    <n v="243.60000000000002"/>
    <n v="19"/>
    <x v="3"/>
    <x v="1"/>
    <x v="3"/>
    <s v="Sunny"/>
    <x v="3"/>
    <n v="1798"/>
    <x v="11"/>
    <n v="2024"/>
  </r>
  <r>
    <d v="2024-08-06T00:00:00"/>
    <n v="3937"/>
    <n v="27.04"/>
    <n v="19"/>
    <x v="3"/>
    <x v="1"/>
    <x v="0"/>
    <s v="Mohan"/>
    <x v="4"/>
    <n v="2069"/>
    <x v="5"/>
    <n v="2024"/>
  </r>
  <r>
    <d v="2024-07-31T00:00:00"/>
    <n v="2024"/>
    <n v="14.14"/>
    <n v="19"/>
    <x v="3"/>
    <x v="0"/>
    <x v="2"/>
    <s v="Rohit"/>
    <x v="3"/>
    <n v="3890"/>
    <x v="1"/>
    <n v="2024"/>
  </r>
  <r>
    <d v="2024-11-10T00:00:00"/>
    <n v="1810"/>
    <n v="233.85000000000002"/>
    <n v="19"/>
    <x v="0"/>
    <x v="0"/>
    <x v="2"/>
    <s v="Mohan"/>
    <x v="5"/>
    <n v="2038"/>
    <x v="11"/>
    <n v="2024"/>
  </r>
  <r>
    <d v="2025-01-16T00:00:00"/>
    <n v="3092"/>
    <n v="184.75"/>
    <n v="19"/>
    <x v="1"/>
    <x v="0"/>
    <x v="2"/>
    <s v="Jenny"/>
    <x v="4"/>
    <n v="3190"/>
    <x v="0"/>
    <n v="2025"/>
  </r>
  <r>
    <d v="2024-08-26T00:00:00"/>
    <n v="2943"/>
    <n v="21.66"/>
    <n v="19"/>
    <x v="2"/>
    <x v="1"/>
    <x v="3"/>
    <s v="Rohit"/>
    <x v="5"/>
    <n v="3816"/>
    <x v="5"/>
    <n v="2024"/>
  </r>
  <r>
    <d v="2024-08-08T00:00:00"/>
    <n v="1770"/>
    <n v="153.95000000000002"/>
    <n v="19"/>
    <x v="2"/>
    <x v="0"/>
    <x v="0"/>
    <s v="Surya"/>
    <x v="3"/>
    <n v="862"/>
    <x v="5"/>
    <n v="2024"/>
  </r>
  <r>
    <d v="2024-10-20T00:00:00"/>
    <n v="3268"/>
    <n v="128.70000000000002"/>
    <n v="20"/>
    <x v="3"/>
    <x v="0"/>
    <x v="1"/>
    <s v="Reena"/>
    <x v="2"/>
    <n v="2099"/>
    <x v="8"/>
    <n v="2024"/>
  </r>
  <r>
    <d v="2024-07-08T00:00:00"/>
    <n v="1770"/>
    <n v="29.1"/>
    <n v="20"/>
    <x v="3"/>
    <x v="0"/>
    <x v="2"/>
    <s v="Jenny"/>
    <x v="4"/>
    <n v="4209"/>
    <x v="1"/>
    <n v="2024"/>
  </r>
  <r>
    <d v="2025-05-23T00:00:00"/>
    <n v="571"/>
    <n v="35.74"/>
    <n v="20"/>
    <x v="1"/>
    <x v="2"/>
    <x v="1"/>
    <s v="Reena"/>
    <x v="0"/>
    <n v="2386"/>
    <x v="10"/>
    <n v="2025"/>
  </r>
  <r>
    <d v="2025-05-13T00:00:00"/>
    <n v="3302"/>
    <n v="11.200000000000001"/>
    <n v="20"/>
    <x v="1"/>
    <x v="2"/>
    <x v="2"/>
    <s v="Bobby"/>
    <x v="3"/>
    <n v="3739"/>
    <x v="10"/>
    <n v="2025"/>
  </r>
  <r>
    <d v="2024-10-02T00:00:00"/>
    <n v="1829"/>
    <n v="41.92"/>
    <n v="20"/>
    <x v="1"/>
    <x v="0"/>
    <x v="0"/>
    <s v="Raveena"/>
    <x v="4"/>
    <n v="813"/>
    <x v="8"/>
    <n v="2024"/>
  </r>
  <r>
    <d v="2024-09-21T00:00:00"/>
    <n v="1566"/>
    <n v="168.75"/>
    <n v="20"/>
    <x v="2"/>
    <x v="0"/>
    <x v="0"/>
    <s v="Raveena"/>
    <x v="3"/>
    <n v="4051"/>
    <x v="9"/>
    <n v="2024"/>
  </r>
  <r>
    <d v="2024-06-24T00:00:00"/>
    <n v="3684"/>
    <n v="156.25"/>
    <n v="20"/>
    <x v="2"/>
    <x v="1"/>
    <x v="1"/>
    <s v="Surya"/>
    <x v="1"/>
    <n v="1429"/>
    <x v="6"/>
    <n v="2024"/>
  </r>
  <r>
    <d v="2025-05-16T00:00:00"/>
    <n v="1380"/>
    <n v="208.60000000000002"/>
    <n v="21"/>
    <x v="0"/>
    <x v="0"/>
    <x v="0"/>
    <s v="Jenny"/>
    <x v="2"/>
    <n v="3043"/>
    <x v="10"/>
    <n v="2025"/>
  </r>
  <r>
    <d v="2024-11-22T00:00:00"/>
    <n v="2391"/>
    <n v="22.900000000000002"/>
    <n v="21"/>
    <x v="0"/>
    <x v="0"/>
    <x v="3"/>
    <s v="Suraj"/>
    <x v="4"/>
    <n v="1021"/>
    <x v="11"/>
    <n v="2024"/>
  </r>
  <r>
    <d v="2024-07-10T00:00:00"/>
    <n v="826"/>
    <n v="150.85"/>
    <n v="21"/>
    <x v="1"/>
    <x v="2"/>
    <x v="0"/>
    <s v="Raveena"/>
    <x v="5"/>
    <n v="2135"/>
    <x v="1"/>
    <n v="2024"/>
  </r>
  <r>
    <d v="2025-03-14T00:00:00"/>
    <n v="2821"/>
    <n v="183.75"/>
    <n v="21"/>
    <x v="2"/>
    <x v="1"/>
    <x v="3"/>
    <s v="Mohan"/>
    <x v="2"/>
    <n v="967"/>
    <x v="7"/>
    <n v="2025"/>
  </r>
  <r>
    <d v="2025-02-22T00:00:00"/>
    <n v="3431"/>
    <n v="40.9"/>
    <n v="21"/>
    <x v="2"/>
    <x v="0"/>
    <x v="0"/>
    <s v="Naveen"/>
    <x v="0"/>
    <n v="3975"/>
    <x v="3"/>
    <n v="2025"/>
  </r>
  <r>
    <d v="2025-01-26T00:00:00"/>
    <n v="2786"/>
    <n v="10.18"/>
    <n v="21"/>
    <x v="2"/>
    <x v="2"/>
    <x v="0"/>
    <s v="Reena"/>
    <x v="1"/>
    <n v="1732"/>
    <x v="0"/>
    <n v="2025"/>
  </r>
  <r>
    <d v="2025-02-13T00:00:00"/>
    <n v="604"/>
    <n v="29.66"/>
    <n v="22"/>
    <x v="3"/>
    <x v="0"/>
    <x v="0"/>
    <s v="Rohit"/>
    <x v="1"/>
    <n v="3044"/>
    <x v="3"/>
    <n v="2025"/>
  </r>
  <r>
    <d v="2024-12-06T00:00:00"/>
    <n v="3073"/>
    <n v="12.200000000000001"/>
    <n v="22"/>
    <x v="3"/>
    <x v="1"/>
    <x v="2"/>
    <s v="Reena"/>
    <x v="2"/>
    <n v="527"/>
    <x v="4"/>
    <n v="2024"/>
  </r>
  <r>
    <d v="2024-10-12T00:00:00"/>
    <n v="2802"/>
    <n v="179"/>
    <n v="22"/>
    <x v="3"/>
    <x v="1"/>
    <x v="3"/>
    <s v="Jenny"/>
    <x v="1"/>
    <n v="1400"/>
    <x v="8"/>
    <n v="2024"/>
  </r>
  <r>
    <d v="2024-08-04T00:00:00"/>
    <n v="1242"/>
    <n v="16.100000000000001"/>
    <n v="22"/>
    <x v="3"/>
    <x v="0"/>
    <x v="1"/>
    <s v="Reena"/>
    <x v="1"/>
    <n v="2576"/>
    <x v="5"/>
    <n v="2024"/>
  </r>
  <r>
    <d v="2024-07-17T00:00:00"/>
    <n v="1565"/>
    <n v="243.60000000000002"/>
    <n v="22"/>
    <x v="3"/>
    <x v="0"/>
    <x v="3"/>
    <s v="Sunny"/>
    <x v="2"/>
    <n v="1987"/>
    <x v="1"/>
    <n v="2024"/>
  </r>
  <r>
    <d v="2025-02-28T00:00:00"/>
    <n v="1309"/>
    <n v="10.72"/>
    <n v="22"/>
    <x v="0"/>
    <x v="2"/>
    <x v="2"/>
    <s v="Jenny"/>
    <x v="1"/>
    <n v="770"/>
    <x v="3"/>
    <n v="2025"/>
  </r>
  <r>
    <d v="2025-01-08T00:00:00"/>
    <n v="1395"/>
    <n v="14.72"/>
    <n v="22"/>
    <x v="0"/>
    <x v="1"/>
    <x v="0"/>
    <s v="Akash"/>
    <x v="0"/>
    <n v="1439"/>
    <x v="0"/>
    <n v="2025"/>
  </r>
  <r>
    <d v="2024-12-26T00:00:00"/>
    <n v="1161"/>
    <n v="25.18"/>
    <n v="22"/>
    <x v="0"/>
    <x v="2"/>
    <x v="1"/>
    <s v="Naveen"/>
    <x v="3"/>
    <n v="1348"/>
    <x v="4"/>
    <n v="2024"/>
  </r>
  <r>
    <d v="2024-08-29T00:00:00"/>
    <n v="2204"/>
    <n v="154.4"/>
    <n v="22"/>
    <x v="0"/>
    <x v="1"/>
    <x v="2"/>
    <s v="Roman"/>
    <x v="3"/>
    <n v="4021"/>
    <x v="5"/>
    <n v="2024"/>
  </r>
  <r>
    <d v="2024-08-19T00:00:00"/>
    <n v="1173"/>
    <n v="203.85000000000002"/>
    <n v="22"/>
    <x v="0"/>
    <x v="0"/>
    <x v="3"/>
    <s v="Surya"/>
    <x v="3"/>
    <n v="1800"/>
    <x v="5"/>
    <n v="2024"/>
  </r>
  <r>
    <d v="2024-07-28T00:00:00"/>
    <n v="3803"/>
    <n v="169.85000000000002"/>
    <n v="22"/>
    <x v="0"/>
    <x v="0"/>
    <x v="0"/>
    <s v="Jenny"/>
    <x v="2"/>
    <n v="3496"/>
    <x v="1"/>
    <n v="2024"/>
  </r>
  <r>
    <d v="2024-07-01T00:00:00"/>
    <n v="3801"/>
    <n v="207.3"/>
    <n v="22"/>
    <x v="1"/>
    <x v="1"/>
    <x v="3"/>
    <s v="Sunny"/>
    <x v="1"/>
    <n v="3622"/>
    <x v="1"/>
    <n v="2024"/>
  </r>
  <r>
    <d v="2025-04-23T00:00:00"/>
    <n v="3857"/>
    <n v="28.28"/>
    <n v="22"/>
    <x v="2"/>
    <x v="2"/>
    <x v="0"/>
    <s v="Surya"/>
    <x v="3"/>
    <n v="1064"/>
    <x v="2"/>
    <n v="2025"/>
  </r>
  <r>
    <d v="2024-10-29T00:00:00"/>
    <n v="1074"/>
    <n v="170.25"/>
    <n v="22"/>
    <x v="2"/>
    <x v="0"/>
    <x v="2"/>
    <s v="Naveen"/>
    <x v="3"/>
    <n v="2668"/>
    <x v="8"/>
    <n v="2024"/>
  </r>
  <r>
    <d v="2024-09-27T00:00:00"/>
    <n v="1155"/>
    <n v="20.92"/>
    <n v="22"/>
    <x v="2"/>
    <x v="2"/>
    <x v="1"/>
    <s v="Bobby"/>
    <x v="2"/>
    <n v="896"/>
    <x v="9"/>
    <n v="2024"/>
  </r>
  <r>
    <d v="2025-04-15T00:00:00"/>
    <n v="2279"/>
    <n v="194.60000000000002"/>
    <n v="23"/>
    <x v="3"/>
    <x v="0"/>
    <x v="0"/>
    <s v="Bobby"/>
    <x v="5"/>
    <n v="2124"/>
    <x v="2"/>
    <n v="2025"/>
  </r>
  <r>
    <d v="2025-03-09T00:00:00"/>
    <n v="719"/>
    <n v="146.65"/>
    <n v="23"/>
    <x v="3"/>
    <x v="0"/>
    <x v="1"/>
    <s v="Radhe"/>
    <x v="0"/>
    <n v="3480"/>
    <x v="7"/>
    <n v="2025"/>
  </r>
  <r>
    <d v="2024-12-29T00:00:00"/>
    <n v="2232"/>
    <n v="40.14"/>
    <n v="23"/>
    <x v="3"/>
    <x v="0"/>
    <x v="2"/>
    <s v="Rohit"/>
    <x v="0"/>
    <n v="1085"/>
    <x v="4"/>
    <n v="2024"/>
  </r>
  <r>
    <d v="2024-12-23T00:00:00"/>
    <n v="2128"/>
    <n v="19.740000000000002"/>
    <n v="23"/>
    <x v="0"/>
    <x v="1"/>
    <x v="0"/>
    <s v="Radhe"/>
    <x v="0"/>
    <n v="1336"/>
    <x v="4"/>
    <n v="2024"/>
  </r>
  <r>
    <d v="2024-11-21T00:00:00"/>
    <n v="2879"/>
    <n v="229.45000000000002"/>
    <n v="23"/>
    <x v="0"/>
    <x v="2"/>
    <x v="3"/>
    <s v="Raveena"/>
    <x v="0"/>
    <n v="1701"/>
    <x v="11"/>
    <n v="2024"/>
  </r>
  <r>
    <d v="2025-02-18T00:00:00"/>
    <n v="1252"/>
    <n v="12.34"/>
    <n v="23"/>
    <x v="1"/>
    <x v="0"/>
    <x v="2"/>
    <s v="Akash"/>
    <x v="4"/>
    <n v="4192"/>
    <x v="3"/>
    <n v="2025"/>
  </r>
  <r>
    <d v="2024-10-06T00:00:00"/>
    <n v="1407"/>
    <n v="215.8"/>
    <n v="23"/>
    <x v="2"/>
    <x v="0"/>
    <x v="3"/>
    <s v="Surya"/>
    <x v="2"/>
    <n v="1240"/>
    <x v="8"/>
    <n v="2024"/>
  </r>
  <r>
    <d v="2024-09-11T00:00:00"/>
    <n v="568"/>
    <n v="220.65"/>
    <n v="23"/>
    <x v="2"/>
    <x v="0"/>
    <x v="1"/>
    <s v="Bobby"/>
    <x v="5"/>
    <n v="3170"/>
    <x v="9"/>
    <n v="2024"/>
  </r>
  <r>
    <d v="2025-05-18T00:00:00"/>
    <n v="3684"/>
    <n v="203.60000000000002"/>
    <n v="24"/>
    <x v="3"/>
    <x v="1"/>
    <x v="2"/>
    <s v="Sunny"/>
    <x v="1"/>
    <n v="1738"/>
    <x v="10"/>
    <n v="2025"/>
  </r>
  <r>
    <d v="2025-05-01T00:00:00"/>
    <n v="566"/>
    <n v="182.70000000000002"/>
    <n v="24"/>
    <x v="3"/>
    <x v="2"/>
    <x v="1"/>
    <s v="Rohit"/>
    <x v="1"/>
    <n v="775"/>
    <x v="10"/>
    <n v="2025"/>
  </r>
  <r>
    <d v="2025-01-06T00:00:00"/>
    <n v="2940"/>
    <n v="37.800000000000004"/>
    <n v="24"/>
    <x v="3"/>
    <x v="1"/>
    <x v="3"/>
    <s v="Radhe"/>
    <x v="1"/>
    <n v="3447"/>
    <x v="0"/>
    <n v="2025"/>
  </r>
  <r>
    <d v="2024-10-10T00:00:00"/>
    <n v="2946"/>
    <n v="17.580000000000002"/>
    <n v="24"/>
    <x v="3"/>
    <x v="1"/>
    <x v="3"/>
    <s v="Roman"/>
    <x v="3"/>
    <n v="3691"/>
    <x v="8"/>
    <n v="2024"/>
  </r>
  <r>
    <d v="2024-09-17T00:00:00"/>
    <n v="2838"/>
    <n v="16.46"/>
    <n v="24"/>
    <x v="3"/>
    <x v="0"/>
    <x v="2"/>
    <s v="Roman"/>
    <x v="0"/>
    <n v="1232"/>
    <x v="9"/>
    <n v="2024"/>
  </r>
  <r>
    <d v="2025-03-28T00:00:00"/>
    <n v="2037"/>
    <n v="47.06"/>
    <n v="24"/>
    <x v="0"/>
    <x v="1"/>
    <x v="2"/>
    <s v="Sunny"/>
    <x v="3"/>
    <n v="3146"/>
    <x v="7"/>
    <n v="2025"/>
  </r>
  <r>
    <d v="2025-03-11T00:00:00"/>
    <n v="2553"/>
    <n v="152.35"/>
    <n v="24"/>
    <x v="0"/>
    <x v="0"/>
    <x v="1"/>
    <s v="Akash"/>
    <x v="4"/>
    <n v="1186"/>
    <x v="7"/>
    <n v="2025"/>
  </r>
  <r>
    <d v="2025-02-25T00:00:00"/>
    <n v="2788"/>
    <n v="21.240000000000002"/>
    <n v="24"/>
    <x v="0"/>
    <x v="0"/>
    <x v="1"/>
    <s v="Surya"/>
    <x v="4"/>
    <n v="1322"/>
    <x v="3"/>
    <n v="2025"/>
  </r>
  <r>
    <d v="2024-06-13T00:00:00"/>
    <n v="2519"/>
    <n v="222.8"/>
    <n v="24"/>
    <x v="1"/>
    <x v="1"/>
    <x v="3"/>
    <s v="Suraj"/>
    <x v="3"/>
    <n v="965"/>
    <x v="6"/>
    <n v="2024"/>
  </r>
  <r>
    <d v="2024-07-12T00:00:00"/>
    <n v="2041"/>
    <n v="216"/>
    <n v="24"/>
    <x v="2"/>
    <x v="0"/>
    <x v="2"/>
    <s v="Reena"/>
    <x v="0"/>
    <n v="558"/>
    <x v="1"/>
    <n v="2024"/>
  </r>
  <r>
    <d v="2024-07-07T00:00:00"/>
    <n v="570"/>
    <n v="199.75"/>
    <n v="24"/>
    <x v="2"/>
    <x v="1"/>
    <x v="2"/>
    <s v="Reena"/>
    <x v="0"/>
    <n v="4060"/>
    <x v="1"/>
    <n v="2024"/>
  </r>
  <r>
    <d v="2025-04-05T00:00:00"/>
    <n v="3987"/>
    <n v="11.86"/>
    <n v="25"/>
    <x v="3"/>
    <x v="0"/>
    <x v="3"/>
    <s v="Sunny"/>
    <x v="0"/>
    <n v="590"/>
    <x v="2"/>
    <n v="2025"/>
  </r>
  <r>
    <d v="2025-02-08T00:00:00"/>
    <n v="1677"/>
    <n v="25.62"/>
    <n v="25"/>
    <x v="0"/>
    <x v="2"/>
    <x v="0"/>
    <s v="Sunny"/>
    <x v="0"/>
    <n v="4114"/>
    <x v="3"/>
    <n v="2025"/>
  </r>
  <r>
    <d v="2024-11-27T00:00:00"/>
    <n v="856"/>
    <n v="216.20000000000002"/>
    <n v="25"/>
    <x v="0"/>
    <x v="2"/>
    <x v="0"/>
    <s v="Jenny"/>
    <x v="5"/>
    <n v="3578"/>
    <x v="11"/>
    <n v="2024"/>
  </r>
  <r>
    <d v="2024-11-11T00:00:00"/>
    <n v="2761"/>
    <n v="31.7"/>
    <n v="25"/>
    <x v="0"/>
    <x v="2"/>
    <x v="0"/>
    <s v="Bobby"/>
    <x v="3"/>
    <n v="3804"/>
    <x v="11"/>
    <n v="2024"/>
  </r>
  <r>
    <d v="2024-11-03T00:00:00"/>
    <n v="2787"/>
    <n v="12.42"/>
    <n v="25"/>
    <x v="0"/>
    <x v="0"/>
    <x v="0"/>
    <s v="Jenny"/>
    <x v="5"/>
    <n v="1470"/>
    <x v="11"/>
    <n v="2024"/>
  </r>
  <r>
    <d v="2024-08-15T00:00:00"/>
    <n v="1107"/>
    <n v="128"/>
    <n v="25"/>
    <x v="0"/>
    <x v="1"/>
    <x v="0"/>
    <s v="Radhe"/>
    <x v="1"/>
    <n v="2129"/>
    <x v="5"/>
    <n v="2024"/>
  </r>
  <r>
    <d v="2025-02-09T00:00:00"/>
    <n v="886"/>
    <n v="141.75"/>
    <n v="25"/>
    <x v="1"/>
    <x v="0"/>
    <x v="2"/>
    <s v="Reena"/>
    <x v="5"/>
    <n v="904"/>
    <x v="3"/>
    <n v="2025"/>
  </r>
  <r>
    <d v="2025-01-20T00:00:00"/>
    <n v="2411"/>
    <n v="168.8"/>
    <n v="25"/>
    <x v="2"/>
    <x v="0"/>
    <x v="0"/>
    <s v="Sunny"/>
    <x v="1"/>
    <n v="3681"/>
    <x v="0"/>
    <n v="2025"/>
  </r>
  <r>
    <d v="2024-07-27T00:00:00"/>
    <n v="2457"/>
    <n v="191.4"/>
    <n v="25"/>
    <x v="2"/>
    <x v="1"/>
    <x v="1"/>
    <s v="Akash"/>
    <x v="4"/>
    <n v="3517"/>
    <x v="1"/>
    <n v="2024"/>
  </r>
  <r>
    <d v="2024-07-13T00:00:00"/>
    <n v="1623"/>
    <n v="25.78"/>
    <n v="25"/>
    <x v="2"/>
    <x v="2"/>
    <x v="3"/>
    <s v="Bobby"/>
    <x v="1"/>
    <n v="2999"/>
    <x v="1"/>
    <n v="2024"/>
  </r>
  <r>
    <d v="2025-04-10T00:00:00"/>
    <n v="2963"/>
    <n v="212.4"/>
    <n v="26"/>
    <x v="3"/>
    <x v="0"/>
    <x v="1"/>
    <s v="Reena"/>
    <x v="4"/>
    <n v="1745"/>
    <x v="2"/>
    <n v="2025"/>
  </r>
  <r>
    <d v="2025-02-03T00:00:00"/>
    <n v="2545"/>
    <n v="223"/>
    <n v="26"/>
    <x v="3"/>
    <x v="2"/>
    <x v="2"/>
    <s v="Suraj"/>
    <x v="3"/>
    <n v="776"/>
    <x v="3"/>
    <n v="2025"/>
  </r>
  <r>
    <d v="2024-11-07T00:00:00"/>
    <n v="537"/>
    <n v="141.30000000000001"/>
    <n v="26"/>
    <x v="3"/>
    <x v="0"/>
    <x v="0"/>
    <s v="Raveena"/>
    <x v="4"/>
    <n v="1469"/>
    <x v="11"/>
    <n v="2024"/>
  </r>
  <r>
    <d v="2024-09-24T00:00:00"/>
    <n v="3305"/>
    <n v="24.64"/>
    <n v="26"/>
    <x v="3"/>
    <x v="2"/>
    <x v="1"/>
    <s v="Naveen"/>
    <x v="0"/>
    <n v="1569"/>
    <x v="9"/>
    <n v="2024"/>
  </r>
  <r>
    <d v="2024-09-14T00:00:00"/>
    <n v="2588"/>
    <n v="240.10000000000002"/>
    <n v="26"/>
    <x v="3"/>
    <x v="1"/>
    <x v="1"/>
    <s v="Bobby"/>
    <x v="3"/>
    <n v="2859"/>
    <x v="9"/>
    <n v="2024"/>
  </r>
  <r>
    <d v="2024-08-18T00:00:00"/>
    <n v="1283"/>
    <n v="214.70000000000002"/>
    <n v="26"/>
    <x v="3"/>
    <x v="0"/>
    <x v="0"/>
    <s v="Mohan"/>
    <x v="1"/>
    <n v="935"/>
    <x v="5"/>
    <n v="2024"/>
  </r>
  <r>
    <d v="2024-06-21T00:00:00"/>
    <n v="2217"/>
    <n v="126.30000000000001"/>
    <n v="26"/>
    <x v="3"/>
    <x v="1"/>
    <x v="2"/>
    <s v="Radhe"/>
    <x v="5"/>
    <n v="903"/>
    <x v="6"/>
    <n v="2024"/>
  </r>
  <r>
    <d v="2025-05-22T00:00:00"/>
    <n v="2740"/>
    <n v="41.68"/>
    <n v="26"/>
    <x v="0"/>
    <x v="0"/>
    <x v="0"/>
    <s v="Sunny"/>
    <x v="5"/>
    <n v="2293"/>
    <x v="10"/>
    <n v="2025"/>
  </r>
  <r>
    <d v="2025-03-07T00:00:00"/>
    <n v="1034"/>
    <n v="42.94"/>
    <n v="26"/>
    <x v="0"/>
    <x v="1"/>
    <x v="3"/>
    <s v="Suraj"/>
    <x v="0"/>
    <n v="3855"/>
    <x v="7"/>
    <n v="2025"/>
  </r>
  <r>
    <d v="2025-01-10T00:00:00"/>
    <n v="2383"/>
    <n v="38.300000000000004"/>
    <n v="26"/>
    <x v="0"/>
    <x v="0"/>
    <x v="3"/>
    <s v="Rohit"/>
    <x v="2"/>
    <n v="3539"/>
    <x v="0"/>
    <n v="2025"/>
  </r>
  <r>
    <d v="2025-04-21T00:00:00"/>
    <n v="2261"/>
    <n v="129.15"/>
    <n v="26"/>
    <x v="1"/>
    <x v="2"/>
    <x v="3"/>
    <s v="Naveen"/>
    <x v="3"/>
    <n v="2805"/>
    <x v="2"/>
    <n v="2025"/>
  </r>
  <r>
    <d v="2024-12-30T00:00:00"/>
    <n v="2085"/>
    <n v="13.22"/>
    <n v="26"/>
    <x v="1"/>
    <x v="0"/>
    <x v="0"/>
    <s v="Raveena"/>
    <x v="5"/>
    <n v="4225"/>
    <x v="4"/>
    <n v="2024"/>
  </r>
  <r>
    <d v="2024-08-10T00:00:00"/>
    <n v="789"/>
    <n v="29.52"/>
    <n v="26"/>
    <x v="2"/>
    <x v="1"/>
    <x v="1"/>
    <s v="Suraj"/>
    <x v="1"/>
    <n v="3209"/>
    <x v="5"/>
    <n v="2024"/>
  </r>
  <r>
    <d v="2024-07-04T00:00:00"/>
    <n v="1817"/>
    <n v="155"/>
    <n v="26"/>
    <x v="2"/>
    <x v="0"/>
    <x v="3"/>
    <s v="Mohan"/>
    <x v="5"/>
    <n v="2950"/>
    <x v="1"/>
    <n v="2024"/>
  </r>
  <r>
    <d v="2025-04-27T00:00:00"/>
    <n v="535"/>
    <n v="11.46"/>
    <n v="27"/>
    <x v="3"/>
    <x v="0"/>
    <x v="1"/>
    <s v="Reena"/>
    <x v="3"/>
    <n v="2790"/>
    <x v="2"/>
    <n v="2025"/>
  </r>
  <r>
    <d v="2025-02-24T00:00:00"/>
    <n v="1441"/>
    <n v="228.60000000000002"/>
    <n v="27"/>
    <x v="3"/>
    <x v="2"/>
    <x v="2"/>
    <s v="Sunny"/>
    <x v="2"/>
    <n v="906"/>
    <x v="3"/>
    <n v="2025"/>
  </r>
  <r>
    <d v="2025-01-03T00:00:00"/>
    <n v="1372"/>
    <n v="178.5"/>
    <n v="27"/>
    <x v="3"/>
    <x v="0"/>
    <x v="1"/>
    <s v="Surya"/>
    <x v="3"/>
    <n v="3374"/>
    <x v="0"/>
    <n v="2025"/>
  </r>
  <r>
    <d v="2024-09-01T00:00:00"/>
    <n v="1959"/>
    <n v="201.3"/>
    <n v="27"/>
    <x v="3"/>
    <x v="1"/>
    <x v="2"/>
    <s v="Reena"/>
    <x v="4"/>
    <n v="993"/>
    <x v="9"/>
    <n v="2024"/>
  </r>
  <r>
    <d v="2024-12-31T00:00:00"/>
    <n v="3504"/>
    <n v="29.42"/>
    <n v="27"/>
    <x v="0"/>
    <x v="0"/>
    <x v="1"/>
    <s v="Mohan"/>
    <x v="0"/>
    <n v="1111"/>
    <x v="4"/>
    <n v="2024"/>
  </r>
  <r>
    <d v="2024-07-02T00:00:00"/>
    <n v="1676"/>
    <n v="153.60000000000002"/>
    <n v="27"/>
    <x v="0"/>
    <x v="0"/>
    <x v="1"/>
    <s v="Akash"/>
    <x v="4"/>
    <n v="2229"/>
    <x v="1"/>
    <n v="2024"/>
  </r>
  <r>
    <d v="2024-12-14T00:00:00"/>
    <n v="3067"/>
    <n v="18.740000000000002"/>
    <n v="27"/>
    <x v="1"/>
    <x v="0"/>
    <x v="1"/>
    <s v="Bobby"/>
    <x v="4"/>
    <n v="1001"/>
    <x v="4"/>
    <n v="2024"/>
  </r>
  <r>
    <d v="2024-11-06T00:00:00"/>
    <n v="1040"/>
    <n v="238.60000000000002"/>
    <n v="27"/>
    <x v="1"/>
    <x v="2"/>
    <x v="1"/>
    <s v="Bobby"/>
    <x v="3"/>
    <n v="4165"/>
    <x v="11"/>
    <n v="2024"/>
  </r>
  <r>
    <d v="2025-04-18T00:00:00"/>
    <n v="1163"/>
    <n v="29.92"/>
    <n v="27"/>
    <x v="2"/>
    <x v="0"/>
    <x v="1"/>
    <s v="Surya"/>
    <x v="5"/>
    <n v="772"/>
    <x v="2"/>
    <n v="2025"/>
  </r>
  <r>
    <d v="2024-09-13T00:00:00"/>
    <n v="2682"/>
    <n v="193.9"/>
    <n v="27"/>
    <x v="2"/>
    <x v="1"/>
    <x v="2"/>
    <s v="Mohan"/>
    <x v="1"/>
    <n v="1447"/>
    <x v="9"/>
    <n v="2024"/>
  </r>
  <r>
    <d v="2024-06-12T00:00:00"/>
    <n v="1152"/>
    <n v="140.35"/>
    <n v="27"/>
    <x v="2"/>
    <x v="2"/>
    <x v="1"/>
    <s v="Akash"/>
    <x v="0"/>
    <n v="4014"/>
    <x v="6"/>
    <n v="2024"/>
  </r>
  <r>
    <d v="2024-06-25T00:00:00"/>
    <n v="2940"/>
    <n v="18.86"/>
    <n v="28"/>
    <x v="0"/>
    <x v="1"/>
    <x v="3"/>
    <s v="Raveena"/>
    <x v="5"/>
    <n v="3879"/>
    <x v="6"/>
    <n v="2024"/>
  </r>
  <r>
    <d v="2024-12-16T00:00:00"/>
    <n v="1217"/>
    <n v="17.080000000000002"/>
    <n v="28"/>
    <x v="1"/>
    <x v="1"/>
    <x v="1"/>
    <s v="Mohan"/>
    <x v="5"/>
    <n v="2954"/>
    <x v="4"/>
    <n v="2024"/>
  </r>
  <r>
    <d v="2025-05-19T00:00:00"/>
    <n v="2958"/>
    <n v="176.85000000000002"/>
    <n v="28"/>
    <x v="2"/>
    <x v="0"/>
    <x v="2"/>
    <s v="Mohan"/>
    <x v="4"/>
    <n v="1020"/>
    <x v="10"/>
    <n v="2025"/>
  </r>
  <r>
    <d v="2025-05-15T00:00:00"/>
    <n v="2675"/>
    <n v="201.05"/>
    <n v="29"/>
    <x v="3"/>
    <x v="0"/>
    <x v="0"/>
    <s v="Mohan"/>
    <x v="0"/>
    <n v="1474"/>
    <x v="10"/>
    <n v="2025"/>
  </r>
  <r>
    <d v="2025-03-23T00:00:00"/>
    <n v="2679"/>
    <n v="186.15"/>
    <n v="29"/>
    <x v="3"/>
    <x v="2"/>
    <x v="0"/>
    <s v="Rohit"/>
    <x v="3"/>
    <n v="2868"/>
    <x v="7"/>
    <n v="2025"/>
  </r>
  <r>
    <d v="2025-05-21T00:00:00"/>
    <n v="3299"/>
    <n v="30.88"/>
    <n v="29"/>
    <x v="0"/>
    <x v="1"/>
    <x v="3"/>
    <s v="Raveena"/>
    <x v="3"/>
    <n v="4174"/>
    <x v="10"/>
    <n v="2025"/>
  </r>
  <r>
    <d v="2025-05-08T00:00:00"/>
    <n v="2945"/>
    <n v="18.18"/>
    <n v="29"/>
    <x v="0"/>
    <x v="0"/>
    <x v="0"/>
    <s v="Suraj"/>
    <x v="4"/>
    <n v="4276"/>
    <x v="10"/>
    <n v="2025"/>
  </r>
  <r>
    <d v="2024-10-21T00:00:00"/>
    <n v="1305"/>
    <n v="235.60000000000002"/>
    <n v="29"/>
    <x v="1"/>
    <x v="2"/>
    <x v="0"/>
    <s v="Mohan"/>
    <x v="5"/>
    <n v="3090"/>
    <x v="8"/>
    <n v="2024"/>
  </r>
  <r>
    <d v="2025-05-17T00:00:00"/>
    <n v="633"/>
    <n v="203.65"/>
    <n v="30"/>
    <x v="3"/>
    <x v="0"/>
    <x v="2"/>
    <s v="Naveen"/>
    <x v="0"/>
    <n v="4048"/>
    <x v="10"/>
    <n v="2025"/>
  </r>
  <r>
    <d v="2025-04-08T00:00:00"/>
    <n v="2366"/>
    <n v="131.55000000000001"/>
    <n v="30"/>
    <x v="3"/>
    <x v="1"/>
    <x v="1"/>
    <s v="Sunny"/>
    <x v="1"/>
    <n v="2905"/>
    <x v="2"/>
    <n v="2025"/>
  </r>
  <r>
    <d v="2024-12-28T00:00:00"/>
    <n v="677"/>
    <n v="236.3"/>
    <n v="30"/>
    <x v="3"/>
    <x v="0"/>
    <x v="2"/>
    <s v="Naveen"/>
    <x v="0"/>
    <n v="3495"/>
    <x v="4"/>
    <n v="2024"/>
  </r>
  <r>
    <d v="2024-10-08T00:00:00"/>
    <n v="2291"/>
    <n v="149.95000000000002"/>
    <n v="30"/>
    <x v="3"/>
    <x v="2"/>
    <x v="2"/>
    <s v="Akash"/>
    <x v="4"/>
    <n v="2060"/>
    <x v="8"/>
    <n v="2024"/>
  </r>
  <r>
    <d v="2024-11-16T00:00:00"/>
    <n v="1981"/>
    <n v="28.66"/>
    <n v="30"/>
    <x v="0"/>
    <x v="2"/>
    <x v="3"/>
    <s v="Akash"/>
    <x v="0"/>
    <n v="3321"/>
    <x v="11"/>
    <n v="2024"/>
  </r>
  <r>
    <d v="2024-10-22T00:00:00"/>
    <n v="928"/>
    <n v="129.20000000000002"/>
    <n v="30"/>
    <x v="0"/>
    <x v="0"/>
    <x v="0"/>
    <s v="Surya"/>
    <x v="1"/>
    <n v="1207"/>
    <x v="8"/>
    <n v="2024"/>
  </r>
  <r>
    <d v="2025-04-22T00:00:00"/>
    <n v="3564"/>
    <n v="37.880000000000003"/>
    <n v="30"/>
    <x v="1"/>
    <x v="2"/>
    <x v="3"/>
    <s v="Reena"/>
    <x v="5"/>
    <n v="3364"/>
    <x v="2"/>
    <n v="2025"/>
  </r>
  <r>
    <d v="2025-03-01T00:00:00"/>
    <n v="3953"/>
    <n v="47.02"/>
    <n v="30"/>
    <x v="1"/>
    <x v="2"/>
    <x v="1"/>
    <s v="Jenny"/>
    <x v="0"/>
    <n v="1486"/>
    <x v="7"/>
    <n v="2025"/>
  </r>
  <r>
    <d v="2024-08-28T00:00:00"/>
    <n v="3272"/>
    <n v="127.5"/>
    <n v="30"/>
    <x v="1"/>
    <x v="1"/>
    <x v="1"/>
    <s v="Reena"/>
    <x v="1"/>
    <n v="3526"/>
    <x v="5"/>
    <n v="2024"/>
  </r>
  <r>
    <d v="2024-07-22T00:00:00"/>
    <n v="952"/>
    <n v="40.42"/>
    <n v="30"/>
    <x v="1"/>
    <x v="1"/>
    <x v="0"/>
    <s v="Bobby"/>
    <x v="0"/>
    <n v="3352"/>
    <x v="1"/>
    <n v="2024"/>
  </r>
  <r>
    <d v="2024-06-29T00:00:00"/>
    <n v="3470"/>
    <n v="145.25"/>
    <n v="30"/>
    <x v="1"/>
    <x v="0"/>
    <x v="3"/>
    <s v="Akash"/>
    <x v="2"/>
    <n v="3686"/>
    <x v="6"/>
    <n v="2024"/>
  </r>
  <r>
    <d v="2024-11-28T00:00:00"/>
    <n v="601"/>
    <n v="192.75"/>
    <n v="30"/>
    <x v="2"/>
    <x v="1"/>
    <x v="2"/>
    <s v="Raveena"/>
    <x v="2"/>
    <n v="4172"/>
    <x v="11"/>
    <n v="2024"/>
  </r>
  <r>
    <d v="2024-09-04T00:00:00"/>
    <n v="1235"/>
    <n v="24.7"/>
    <n v="30"/>
    <x v="2"/>
    <x v="0"/>
    <x v="3"/>
    <s v="Suraj"/>
    <x v="2"/>
    <n v="3663"/>
    <x v="9"/>
    <n v="2024"/>
  </r>
  <r>
    <d v="2025-05-09T00:00:00"/>
    <n v="3370"/>
    <n v="26.52"/>
    <n v="31"/>
    <x v="3"/>
    <x v="2"/>
    <x v="3"/>
    <s v="Naveen"/>
    <x v="5"/>
    <n v="4172"/>
    <x v="10"/>
    <n v="2025"/>
  </r>
  <r>
    <d v="2024-11-12T00:00:00"/>
    <n v="2752"/>
    <n v="31.42"/>
    <n v="31"/>
    <x v="3"/>
    <x v="2"/>
    <x v="2"/>
    <s v="Naveen"/>
    <x v="4"/>
    <n v="2841"/>
    <x v="11"/>
    <n v="2024"/>
  </r>
  <r>
    <d v="2024-09-10T00:00:00"/>
    <n v="3708"/>
    <n v="127.15"/>
    <n v="31"/>
    <x v="3"/>
    <x v="2"/>
    <x v="3"/>
    <s v="Sunny"/>
    <x v="1"/>
    <n v="1270"/>
    <x v="9"/>
    <n v="2024"/>
  </r>
  <r>
    <d v="2024-11-19T00:00:00"/>
    <n v="3018"/>
    <n v="198"/>
    <n v="31"/>
    <x v="0"/>
    <x v="1"/>
    <x v="0"/>
    <s v="Raveena"/>
    <x v="0"/>
    <n v="3480"/>
    <x v="11"/>
    <n v="2024"/>
  </r>
  <r>
    <d v="2024-07-25T00:00:00"/>
    <n v="1256"/>
    <n v="220.4"/>
    <n v="31"/>
    <x v="0"/>
    <x v="0"/>
    <x v="3"/>
    <s v="Roman"/>
    <x v="4"/>
    <n v="523"/>
    <x v="1"/>
    <n v="2024"/>
  </r>
  <r>
    <d v="2024-07-06T00:00:00"/>
    <n v="959"/>
    <n v="44.78"/>
    <n v="31"/>
    <x v="0"/>
    <x v="0"/>
    <x v="3"/>
    <s v="Rohit"/>
    <x v="4"/>
    <n v="4150"/>
    <x v="1"/>
    <n v="2024"/>
  </r>
  <r>
    <d v="2025-03-15T00:00:00"/>
    <n v="3988"/>
    <n v="42.22"/>
    <n v="31"/>
    <x v="1"/>
    <x v="2"/>
    <x v="2"/>
    <s v="Mohan"/>
    <x v="3"/>
    <n v="4143"/>
    <x v="7"/>
    <n v="2025"/>
  </r>
  <r>
    <d v="2025-01-15T00:00:00"/>
    <n v="1509"/>
    <n v="21"/>
    <n v="31"/>
    <x v="1"/>
    <x v="0"/>
    <x v="2"/>
    <s v="Jenny"/>
    <x v="5"/>
    <n v="1692"/>
    <x v="0"/>
    <n v="2025"/>
  </r>
  <r>
    <d v="2024-09-26T00:00:00"/>
    <n v="1245"/>
    <n v="136.4"/>
    <n v="31"/>
    <x v="1"/>
    <x v="1"/>
    <x v="3"/>
    <s v="Suraj"/>
    <x v="1"/>
    <n v="3810"/>
    <x v="9"/>
    <n v="2024"/>
  </r>
  <r>
    <d v="2024-08-14T00:00:00"/>
    <n v="3102"/>
    <n v="32.660000000000004"/>
    <n v="31"/>
    <x v="1"/>
    <x v="2"/>
    <x v="0"/>
    <s v="Surya"/>
    <x v="5"/>
    <n v="920"/>
    <x v="5"/>
    <n v="2024"/>
  </r>
  <r>
    <d v="2024-09-08T00:00:00"/>
    <n v="538"/>
    <n v="186.95000000000002"/>
    <n v="32"/>
    <x v="3"/>
    <x v="2"/>
    <x v="2"/>
    <s v="Roman"/>
    <x v="4"/>
    <n v="4285"/>
    <x v="9"/>
    <n v="2024"/>
  </r>
  <r>
    <d v="2025-03-05T00:00:00"/>
    <n v="2178"/>
    <n v="24.14"/>
    <n v="32"/>
    <x v="0"/>
    <x v="1"/>
    <x v="0"/>
    <s v="Rohit"/>
    <x v="4"/>
    <n v="3951"/>
    <x v="7"/>
    <n v="2025"/>
  </r>
  <r>
    <d v="2025-02-21T00:00:00"/>
    <n v="1438"/>
    <n v="208.3"/>
    <n v="32"/>
    <x v="0"/>
    <x v="0"/>
    <x v="2"/>
    <s v="Rohit"/>
    <x v="0"/>
    <n v="4286"/>
    <x v="3"/>
    <n v="2025"/>
  </r>
  <r>
    <d v="2025-02-20T00:00:00"/>
    <n v="2699"/>
    <n v="173.20000000000002"/>
    <n v="32"/>
    <x v="0"/>
    <x v="0"/>
    <x v="2"/>
    <s v="Naveen"/>
    <x v="3"/>
    <n v="4131"/>
    <x v="3"/>
    <n v="2025"/>
  </r>
  <r>
    <d v="2024-11-02T00:00:00"/>
    <n v="3949"/>
    <n v="247.20000000000002"/>
    <n v="32"/>
    <x v="0"/>
    <x v="1"/>
    <x v="2"/>
    <s v="Sunny"/>
    <x v="2"/>
    <n v="3212"/>
    <x v="11"/>
    <n v="2024"/>
  </r>
  <r>
    <d v="2024-09-19T00:00:00"/>
    <n v="1056"/>
    <n v="142.6"/>
    <n v="32"/>
    <x v="0"/>
    <x v="1"/>
    <x v="3"/>
    <s v="Naveen"/>
    <x v="0"/>
    <n v="779"/>
    <x v="9"/>
    <n v="2024"/>
  </r>
  <r>
    <d v="2025-04-13T00:00:00"/>
    <n v="2464"/>
    <n v="175.60000000000002"/>
    <n v="32"/>
    <x v="2"/>
    <x v="0"/>
    <x v="3"/>
    <s v="Radhe"/>
    <x v="5"/>
    <n v="3996"/>
    <x v="2"/>
    <n v="2025"/>
  </r>
  <r>
    <d v="2025-01-12T00:00:00"/>
    <n v="2209"/>
    <n v="16.240000000000002"/>
    <n v="32"/>
    <x v="2"/>
    <x v="2"/>
    <x v="3"/>
    <s v="Surya"/>
    <x v="3"/>
    <n v="3264"/>
    <x v="0"/>
    <n v="2025"/>
  </r>
  <r>
    <d v="2024-06-28T00:00:00"/>
    <n v="3236"/>
    <n v="126.85000000000001"/>
    <n v="32"/>
    <x v="2"/>
    <x v="1"/>
    <x v="2"/>
    <s v="Mohan"/>
    <x v="5"/>
    <n v="757"/>
    <x v="6"/>
    <n v="2024"/>
  </r>
  <r>
    <d v="2025-02-19T00:00:00"/>
    <n v="2987"/>
    <n v="37.36"/>
    <n v="33"/>
    <x v="3"/>
    <x v="1"/>
    <x v="0"/>
    <s v="Akash"/>
    <x v="0"/>
    <n v="3260"/>
    <x v="3"/>
    <n v="2025"/>
  </r>
  <r>
    <d v="2024-12-01T00:00:00"/>
    <n v="3031"/>
    <n v="239.75"/>
    <n v="33"/>
    <x v="3"/>
    <x v="0"/>
    <x v="3"/>
    <s v="Suraj"/>
    <x v="1"/>
    <n v="3787"/>
    <x v="4"/>
    <n v="2024"/>
  </r>
  <r>
    <d v="2024-06-30T00:00:00"/>
    <n v="1474"/>
    <n v="28.94"/>
    <n v="33"/>
    <x v="3"/>
    <x v="1"/>
    <x v="1"/>
    <s v="Suraj"/>
    <x v="0"/>
    <n v="3917"/>
    <x v="6"/>
    <n v="2024"/>
  </r>
  <r>
    <d v="2025-02-05T00:00:00"/>
    <n v="1735"/>
    <n v="16.72"/>
    <n v="33"/>
    <x v="0"/>
    <x v="1"/>
    <x v="3"/>
    <s v="Surya"/>
    <x v="5"/>
    <n v="615"/>
    <x v="3"/>
    <n v="2025"/>
  </r>
  <r>
    <d v="2024-10-18T00:00:00"/>
    <n v="3659"/>
    <n v="17.14"/>
    <n v="33"/>
    <x v="0"/>
    <x v="1"/>
    <x v="2"/>
    <s v="Akash"/>
    <x v="4"/>
    <n v="1616"/>
    <x v="8"/>
    <n v="2024"/>
  </r>
  <r>
    <d v="2025-04-17T00:00:00"/>
    <n v="1200"/>
    <n v="20.12"/>
    <n v="33"/>
    <x v="1"/>
    <x v="1"/>
    <x v="0"/>
    <s v="Roman"/>
    <x v="5"/>
    <n v="3772"/>
    <x v="2"/>
    <n v="2025"/>
  </r>
  <r>
    <d v="2025-02-06T00:00:00"/>
    <n v="1411"/>
    <n v="213.65"/>
    <n v="33"/>
    <x v="1"/>
    <x v="0"/>
    <x v="1"/>
    <s v="Surya"/>
    <x v="4"/>
    <n v="1330"/>
    <x v="3"/>
    <n v="2025"/>
  </r>
  <r>
    <d v="2025-01-18T00:00:00"/>
    <n v="3941"/>
    <n v="191.25"/>
    <n v="33"/>
    <x v="1"/>
    <x v="0"/>
    <x v="3"/>
    <s v="Surya"/>
    <x v="1"/>
    <n v="2505"/>
    <x v="0"/>
    <n v="2025"/>
  </r>
  <r>
    <d v="2024-06-17T00:00:00"/>
    <n v="3187"/>
    <n v="225.05"/>
    <n v="34"/>
    <x v="3"/>
    <x v="2"/>
    <x v="1"/>
    <s v="Sunny"/>
    <x v="3"/>
    <n v="882"/>
    <x v="6"/>
    <n v="2024"/>
  </r>
  <r>
    <d v="2025-03-10T00:00:00"/>
    <n v="725"/>
    <n v="135.45000000000002"/>
    <n v="34"/>
    <x v="1"/>
    <x v="0"/>
    <x v="0"/>
    <s v="Radhe"/>
    <x v="5"/>
    <n v="4189"/>
    <x v="7"/>
    <n v="2025"/>
  </r>
  <r>
    <d v="2025-03-03T00:00:00"/>
    <n v="1456"/>
    <n v="13.780000000000001"/>
    <n v="34"/>
    <x v="1"/>
    <x v="0"/>
    <x v="0"/>
    <s v="Bobby"/>
    <x v="2"/>
    <n v="2197"/>
    <x v="7"/>
    <n v="2025"/>
  </r>
  <r>
    <d v="2024-12-03T00:00:00"/>
    <n v="1583"/>
    <n v="195.3"/>
    <n v="34"/>
    <x v="2"/>
    <x v="2"/>
    <x v="2"/>
    <s v="Rohit"/>
    <x v="0"/>
    <n v="2520"/>
    <x v="4"/>
    <n v="2024"/>
  </r>
  <r>
    <d v="2024-06-14T00:00:00"/>
    <n v="2593"/>
    <n v="23.78"/>
    <n v="34"/>
    <x v="2"/>
    <x v="2"/>
    <x v="3"/>
    <s v="Raveena"/>
    <x v="2"/>
    <n v="3927"/>
    <x v="6"/>
    <n v="2024"/>
  </r>
  <r>
    <d v="2025-03-16T00:00:00"/>
    <n v="2688"/>
    <n v="245.70000000000002"/>
    <n v="35"/>
    <x v="3"/>
    <x v="1"/>
    <x v="3"/>
    <s v="Rohit"/>
    <x v="4"/>
    <n v="4187"/>
    <x v="7"/>
    <n v="2025"/>
  </r>
  <r>
    <d v="2024-12-22T00:00:00"/>
    <n v="2055"/>
    <n v="150.35"/>
    <n v="35"/>
    <x v="3"/>
    <x v="1"/>
    <x v="0"/>
    <s v="Sunny"/>
    <x v="0"/>
    <n v="3195"/>
    <x v="4"/>
    <n v="2024"/>
  </r>
  <r>
    <d v="2024-08-20T00:00:00"/>
    <n v="3020"/>
    <n v="14.58"/>
    <n v="35"/>
    <x v="3"/>
    <x v="1"/>
    <x v="3"/>
    <s v="Rohit"/>
    <x v="4"/>
    <n v="3137"/>
    <x v="5"/>
    <n v="2024"/>
  </r>
  <r>
    <d v="2025-01-19T00:00:00"/>
    <n v="2014"/>
    <n v="15.22"/>
    <n v="35"/>
    <x v="1"/>
    <x v="0"/>
    <x v="0"/>
    <s v="Raveena"/>
    <x v="2"/>
    <n v="3753"/>
    <x v="0"/>
    <n v="2025"/>
  </r>
  <r>
    <d v="2024-06-15T00:00:00"/>
    <n v="2233"/>
    <n v="24.36"/>
    <n v="35"/>
    <x v="2"/>
    <x v="2"/>
    <x v="2"/>
    <s v="Mohan"/>
    <x v="0"/>
    <n v="1955"/>
    <x v="6"/>
    <n v="2024"/>
  </r>
  <r>
    <d v="2024-10-16T00:00:00"/>
    <n v="514"/>
    <n v="179.8"/>
    <n v="36"/>
    <x v="0"/>
    <x v="0"/>
    <x v="0"/>
    <s v="Akash"/>
    <x v="5"/>
    <n v="3997"/>
    <x v="8"/>
    <n v="2024"/>
  </r>
  <r>
    <d v="2025-04-07T00:00:00"/>
    <n v="3296"/>
    <n v="29.8"/>
    <n v="36"/>
    <x v="1"/>
    <x v="0"/>
    <x v="3"/>
    <s v="Jenny"/>
    <x v="1"/>
    <n v="3409"/>
    <x v="2"/>
    <n v="2025"/>
  </r>
  <r>
    <d v="2024-08-30T00:00:00"/>
    <n v="1263"/>
    <n v="34.32"/>
    <n v="36"/>
    <x v="1"/>
    <x v="1"/>
    <x v="3"/>
    <s v="Naveen"/>
    <x v="1"/>
    <n v="3829"/>
    <x v="5"/>
    <n v="2024"/>
  </r>
  <r>
    <d v="2024-07-29T00:00:00"/>
    <n v="3563"/>
    <n v="34.700000000000003"/>
    <n v="36"/>
    <x v="2"/>
    <x v="2"/>
    <x v="0"/>
    <s v="Mohan"/>
    <x v="1"/>
    <n v="1268"/>
    <x v="1"/>
    <n v="2024"/>
  </r>
  <r>
    <d v="2025-02-26T00:00:00"/>
    <n v="1529"/>
    <n v="223.65"/>
    <n v="37"/>
    <x v="3"/>
    <x v="0"/>
    <x v="3"/>
    <s v="Naveen"/>
    <x v="2"/>
    <n v="3879"/>
    <x v="3"/>
    <n v="2025"/>
  </r>
  <r>
    <d v="2025-01-30T00:00:00"/>
    <n v="3503"/>
    <n v="179.25"/>
    <n v="37"/>
    <x v="3"/>
    <x v="1"/>
    <x v="0"/>
    <s v="Raveena"/>
    <x v="0"/>
    <n v="3799"/>
    <x v="0"/>
    <n v="2025"/>
  </r>
  <r>
    <d v="2025-04-06T00:00:00"/>
    <n v="1078"/>
    <n v="131.65"/>
    <n v="37"/>
    <x v="0"/>
    <x v="1"/>
    <x v="1"/>
    <s v="Sunny"/>
    <x v="2"/>
    <n v="2094"/>
    <x v="2"/>
    <n v="2025"/>
  </r>
  <r>
    <d v="2025-03-18T00:00:00"/>
    <n v="2883"/>
    <n v="37.300000000000004"/>
    <n v="37"/>
    <x v="0"/>
    <x v="2"/>
    <x v="1"/>
    <s v="Radhe"/>
    <x v="2"/>
    <n v="3656"/>
    <x v="7"/>
    <n v="2025"/>
  </r>
  <r>
    <d v="2024-09-15T00:00:00"/>
    <n v="2397"/>
    <n v="216.45000000000002"/>
    <n v="37"/>
    <x v="0"/>
    <x v="0"/>
    <x v="2"/>
    <s v="Raveena"/>
    <x v="4"/>
    <n v="1940"/>
    <x v="9"/>
    <n v="2024"/>
  </r>
  <r>
    <d v="2025-05-03T00:00:00"/>
    <n v="1287"/>
    <n v="180.55"/>
    <n v="37"/>
    <x v="1"/>
    <x v="2"/>
    <x v="2"/>
    <s v="Surya"/>
    <x v="3"/>
    <n v="3916"/>
    <x v="10"/>
    <n v="2025"/>
  </r>
  <r>
    <d v="2024-12-05T00:00:00"/>
    <n v="2907"/>
    <n v="204.3"/>
    <n v="37"/>
    <x v="1"/>
    <x v="2"/>
    <x v="2"/>
    <s v="Sunny"/>
    <x v="3"/>
    <n v="630"/>
    <x v="4"/>
    <n v="2024"/>
  </r>
  <r>
    <d v="2024-07-24T00:00:00"/>
    <n v="3337"/>
    <n v="43.02"/>
    <n v="37"/>
    <x v="1"/>
    <x v="1"/>
    <x v="2"/>
    <s v="Surya"/>
    <x v="1"/>
    <n v="2367"/>
    <x v="1"/>
    <n v="2024"/>
  </r>
  <r>
    <d v="2025-05-07T00:00:00"/>
    <n v="2233"/>
    <n v="249.70000000000002"/>
    <n v="37"/>
    <x v="2"/>
    <x v="1"/>
    <x v="3"/>
    <s v="Bobby"/>
    <x v="5"/>
    <n v="3317"/>
    <x v="10"/>
    <n v="2025"/>
  </r>
  <r>
    <d v="2025-04-24T00:00:00"/>
    <n v="3616"/>
    <n v="26.42"/>
    <n v="37"/>
    <x v="2"/>
    <x v="1"/>
    <x v="2"/>
    <s v="Naveen"/>
    <x v="2"/>
    <n v="2651"/>
    <x v="2"/>
    <n v="2025"/>
  </r>
  <r>
    <d v="2025-01-24T00:00:00"/>
    <n v="2980"/>
    <n v="150.20000000000002"/>
    <n v="37"/>
    <x v="2"/>
    <x v="0"/>
    <x v="1"/>
    <s v="Radhe"/>
    <x v="4"/>
    <n v="3762"/>
    <x v="0"/>
    <n v="2025"/>
  </r>
  <r>
    <d v="2024-11-08T00:00:00"/>
    <n v="1462"/>
    <n v="32"/>
    <n v="37"/>
    <x v="2"/>
    <x v="0"/>
    <x v="2"/>
    <s v="Mohan"/>
    <x v="4"/>
    <n v="3985"/>
    <x v="11"/>
    <n v="2024"/>
  </r>
  <r>
    <d v="2025-03-17T00:00:00"/>
    <n v="2345"/>
    <n v="45.6"/>
    <n v="38"/>
    <x v="3"/>
    <x v="0"/>
    <x v="3"/>
    <s v="Suraj"/>
    <x v="1"/>
    <n v="4167"/>
    <x v="7"/>
    <n v="2025"/>
  </r>
  <r>
    <d v="2024-12-20T00:00:00"/>
    <n v="1592"/>
    <n v="238.85000000000002"/>
    <n v="38"/>
    <x v="3"/>
    <x v="0"/>
    <x v="3"/>
    <s v="Naveen"/>
    <x v="0"/>
    <n v="2539"/>
    <x v="4"/>
    <n v="2024"/>
  </r>
  <r>
    <d v="2024-11-20T00:00:00"/>
    <n v="690"/>
    <n v="217.25"/>
    <n v="38"/>
    <x v="3"/>
    <x v="1"/>
    <x v="0"/>
    <s v="Mohan"/>
    <x v="4"/>
    <n v="1503"/>
    <x v="11"/>
    <n v="2024"/>
  </r>
  <r>
    <d v="2024-09-02T00:00:00"/>
    <n v="976"/>
    <n v="43.86"/>
    <n v="38"/>
    <x v="3"/>
    <x v="1"/>
    <x v="0"/>
    <s v="Roman"/>
    <x v="2"/>
    <n v="1841"/>
    <x v="9"/>
    <n v="2024"/>
  </r>
  <r>
    <d v="2025-05-20T00:00:00"/>
    <n v="1962"/>
    <n v="131.4"/>
    <n v="38"/>
    <x v="0"/>
    <x v="2"/>
    <x v="2"/>
    <s v="Rohit"/>
    <x v="0"/>
    <n v="1221"/>
    <x v="10"/>
    <n v="2025"/>
  </r>
  <r>
    <d v="2025-02-27T00:00:00"/>
    <n v="2854"/>
    <n v="41.04"/>
    <n v="38"/>
    <x v="2"/>
    <x v="0"/>
    <x v="1"/>
    <s v="Surya"/>
    <x v="2"/>
    <n v="769"/>
    <x v="3"/>
    <n v="2025"/>
  </r>
  <r>
    <d v="2024-12-24T00:00:00"/>
    <n v="911"/>
    <n v="195.95000000000002"/>
    <n v="38"/>
    <x v="2"/>
    <x v="2"/>
    <x v="0"/>
    <s v="Sunny"/>
    <x v="2"/>
    <n v="3940"/>
    <x v="4"/>
    <n v="2024"/>
  </r>
  <r>
    <d v="2024-10-25T00:00:00"/>
    <n v="1239"/>
    <n v="173.8"/>
    <n v="38"/>
    <x v="2"/>
    <x v="2"/>
    <x v="2"/>
    <s v="Akash"/>
    <x v="3"/>
    <n v="3755"/>
    <x v="8"/>
    <n v="2024"/>
  </r>
  <r>
    <d v="2024-09-30T00:00:00"/>
    <n v="2607"/>
    <n v="248.05"/>
    <n v="39"/>
    <x v="3"/>
    <x v="0"/>
    <x v="2"/>
    <s v="Roman"/>
    <x v="4"/>
    <n v="2218"/>
    <x v="9"/>
    <n v="2024"/>
  </r>
  <r>
    <d v="2025-05-14T00:00:00"/>
    <n v="2713"/>
    <n v="45.64"/>
    <n v="39"/>
    <x v="0"/>
    <x v="0"/>
    <x v="3"/>
    <s v="Naveen"/>
    <x v="4"/>
    <n v="3009"/>
    <x v="10"/>
    <n v="2025"/>
  </r>
  <r>
    <d v="2025-01-07T00:00:00"/>
    <n v="3843"/>
    <n v="144.20000000000002"/>
    <n v="39"/>
    <x v="0"/>
    <x v="2"/>
    <x v="3"/>
    <s v="Akash"/>
    <x v="5"/>
    <n v="2354"/>
    <x v="0"/>
    <n v="2025"/>
  </r>
  <r>
    <d v="2024-11-17T00:00:00"/>
    <n v="1419"/>
    <n v="40.06"/>
    <n v="39"/>
    <x v="0"/>
    <x v="0"/>
    <x v="2"/>
    <s v="Mohan"/>
    <x v="5"/>
    <n v="4247"/>
    <x v="11"/>
    <n v="2024"/>
  </r>
  <r>
    <d v="2024-10-24T00:00:00"/>
    <n v="1620"/>
    <n v="186.20000000000002"/>
    <n v="39"/>
    <x v="1"/>
    <x v="0"/>
    <x v="3"/>
    <s v="Akash"/>
    <x v="1"/>
    <n v="4037"/>
    <x v="8"/>
    <n v="2024"/>
  </r>
  <r>
    <d v="2025-03-30T00:00:00"/>
    <n v="2921"/>
    <n v="189.35000000000002"/>
    <n v="39"/>
    <x v="2"/>
    <x v="0"/>
    <x v="2"/>
    <s v="Radhe"/>
    <x v="5"/>
    <n v="771"/>
    <x v="7"/>
    <n v="2025"/>
  </r>
  <r>
    <d v="2024-09-03T00:00:00"/>
    <n v="2345"/>
    <n v="33.68"/>
    <n v="39"/>
    <x v="2"/>
    <x v="2"/>
    <x v="1"/>
    <s v="Bobby"/>
    <x v="5"/>
    <n v="968"/>
    <x v="9"/>
    <n v="2024"/>
  </r>
  <r>
    <d v="2024-11-18T00:00:00"/>
    <n v="3914"/>
    <n v="220.55"/>
    <n v="40"/>
    <x v="3"/>
    <x v="1"/>
    <x v="1"/>
    <s v="Akash"/>
    <x v="3"/>
    <n v="3833"/>
    <x v="11"/>
    <n v="2024"/>
  </r>
  <r>
    <d v="2024-11-05T00:00:00"/>
    <n v="3168"/>
    <n v="167.8"/>
    <n v="40"/>
    <x v="3"/>
    <x v="2"/>
    <x v="3"/>
    <s v="Sunny"/>
    <x v="5"/>
    <n v="1016"/>
    <x v="11"/>
    <n v="2024"/>
  </r>
  <r>
    <d v="2024-09-09T00:00:00"/>
    <n v="2558"/>
    <n v="17.64"/>
    <n v="40"/>
    <x v="3"/>
    <x v="2"/>
    <x v="0"/>
    <s v="Naveen"/>
    <x v="2"/>
    <n v="753"/>
    <x v="9"/>
    <n v="2024"/>
  </r>
  <r>
    <d v="2025-05-12T00:00:00"/>
    <n v="3386"/>
    <n v="166.5"/>
    <n v="40"/>
    <x v="0"/>
    <x v="1"/>
    <x v="2"/>
    <s v="Naveen"/>
    <x v="4"/>
    <n v="3463"/>
    <x v="10"/>
    <n v="2025"/>
  </r>
  <r>
    <d v="2024-11-13T00:00:00"/>
    <n v="1755"/>
    <n v="22.96"/>
    <n v="40"/>
    <x v="0"/>
    <x v="2"/>
    <x v="2"/>
    <s v="Naveen"/>
    <x v="1"/>
    <n v="1021"/>
    <x v="11"/>
    <n v="2024"/>
  </r>
  <r>
    <d v="2025-03-06T00:00:00"/>
    <n v="518"/>
    <n v="134.5"/>
    <n v="40"/>
    <x v="1"/>
    <x v="2"/>
    <x v="1"/>
    <s v="Mohan"/>
    <x v="2"/>
    <n v="3425"/>
    <x v="7"/>
    <n v="2025"/>
  </r>
  <r>
    <d v="2024-06-18T00:00:00"/>
    <n v="3194"/>
    <n v="176.70000000000002"/>
    <n v="40"/>
    <x v="1"/>
    <x v="2"/>
    <x v="2"/>
    <s v="Suraj"/>
    <x v="4"/>
    <n v="2921"/>
    <x v="6"/>
    <n v="2024"/>
  </r>
  <r>
    <d v="2024-08-13T00:00:00"/>
    <n v="1285"/>
    <n v="28"/>
    <n v="40"/>
    <x v="2"/>
    <x v="1"/>
    <x v="0"/>
    <s v="Mohan"/>
    <x v="0"/>
    <n v="1289"/>
    <x v="5"/>
    <n v="2024"/>
  </r>
  <r>
    <d v="2025-05-06T00:00:00"/>
    <n v="1669"/>
    <n v="249.3"/>
    <n v="41"/>
    <x v="3"/>
    <x v="2"/>
    <x v="0"/>
    <s v="Akash"/>
    <x v="1"/>
    <n v="3981"/>
    <x v="10"/>
    <n v="2025"/>
  </r>
  <r>
    <d v="2024-09-29T00:00:00"/>
    <n v="1395"/>
    <n v="49.86"/>
    <n v="41"/>
    <x v="3"/>
    <x v="1"/>
    <x v="0"/>
    <s v="Jenny"/>
    <x v="3"/>
    <n v="2414"/>
    <x v="9"/>
    <n v="2024"/>
  </r>
  <r>
    <d v="2024-07-26T00:00:00"/>
    <n v="3584"/>
    <n v="165.8"/>
    <n v="41"/>
    <x v="3"/>
    <x v="0"/>
    <x v="3"/>
    <s v="Rohit"/>
    <x v="1"/>
    <n v="1562"/>
    <x v="1"/>
    <n v="2024"/>
  </r>
  <r>
    <d v="2025-04-04T00:00:00"/>
    <n v="2379"/>
    <n v="240.05"/>
    <n v="41"/>
    <x v="0"/>
    <x v="2"/>
    <x v="1"/>
    <s v="Roman"/>
    <x v="5"/>
    <n v="3717"/>
    <x v="2"/>
    <n v="2025"/>
  </r>
  <r>
    <d v="2024-08-12T00:00:00"/>
    <n v="1157"/>
    <n v="22.38"/>
    <n v="41"/>
    <x v="0"/>
    <x v="1"/>
    <x v="3"/>
    <s v="Naveen"/>
    <x v="5"/>
    <n v="3399"/>
    <x v="5"/>
    <n v="2024"/>
  </r>
  <r>
    <d v="2025-05-02T00:00:00"/>
    <n v="2894"/>
    <n v="197.35000000000002"/>
    <n v="41"/>
    <x v="1"/>
    <x v="1"/>
    <x v="0"/>
    <s v="Suraj"/>
    <x v="3"/>
    <n v="2971"/>
    <x v="10"/>
    <n v="2025"/>
  </r>
  <r>
    <d v="2025-04-30T00:00:00"/>
    <n v="1787"/>
    <n v="158.9"/>
    <n v="41"/>
    <x v="1"/>
    <x v="1"/>
    <x v="2"/>
    <s v="Raveena"/>
    <x v="4"/>
    <n v="2055"/>
    <x v="2"/>
    <n v="2025"/>
  </r>
  <r>
    <d v="2025-04-16T00:00:00"/>
    <n v="3451"/>
    <n v="174.45000000000002"/>
    <n v="41"/>
    <x v="1"/>
    <x v="0"/>
    <x v="0"/>
    <s v="Roman"/>
    <x v="1"/>
    <n v="4296"/>
    <x v="2"/>
    <n v="2025"/>
  </r>
  <r>
    <d v="2025-03-29T00:00:00"/>
    <n v="1348"/>
    <n v="33.1"/>
    <n v="41"/>
    <x v="1"/>
    <x v="0"/>
    <x v="0"/>
    <s v="Naveen"/>
    <x v="3"/>
    <n v="2457"/>
    <x v="7"/>
    <n v="2025"/>
  </r>
  <r>
    <d v="2024-11-24T00:00:00"/>
    <n v="3689"/>
    <n v="140.6"/>
    <n v="41"/>
    <x v="1"/>
    <x v="0"/>
    <x v="1"/>
    <s v="Bobby"/>
    <x v="0"/>
    <n v="1390"/>
    <x v="11"/>
    <n v="2024"/>
  </r>
  <r>
    <d v="2024-06-16T00:00:00"/>
    <n v="3144"/>
    <n v="218.9"/>
    <n v="41"/>
    <x v="1"/>
    <x v="2"/>
    <x v="0"/>
    <s v="Rohit"/>
    <x v="4"/>
    <n v="504"/>
    <x v="6"/>
    <n v="2024"/>
  </r>
  <r>
    <d v="2024-08-16T00:00:00"/>
    <n v="1971"/>
    <n v="183.70000000000002"/>
    <n v="41"/>
    <x v="2"/>
    <x v="1"/>
    <x v="1"/>
    <s v="Raveena"/>
    <x v="5"/>
    <n v="3646"/>
    <x v="5"/>
    <n v="2024"/>
  </r>
  <r>
    <d v="2025-02-12T00:00:00"/>
    <n v="2533"/>
    <n v="30.26"/>
    <n v="42"/>
    <x v="3"/>
    <x v="1"/>
    <x v="3"/>
    <s v="Radhe"/>
    <x v="5"/>
    <n v="2616"/>
    <x v="3"/>
    <n v="2025"/>
  </r>
  <r>
    <d v="2024-10-28T00:00:00"/>
    <n v="666"/>
    <n v="230.8"/>
    <n v="42"/>
    <x v="3"/>
    <x v="1"/>
    <x v="0"/>
    <s v="Suraj"/>
    <x v="3"/>
    <n v="2610"/>
    <x v="8"/>
    <n v="2024"/>
  </r>
  <r>
    <d v="2024-08-11T00:00:00"/>
    <n v="3665"/>
    <n v="23.5"/>
    <n v="42"/>
    <x v="3"/>
    <x v="1"/>
    <x v="2"/>
    <s v="Jenny"/>
    <x v="4"/>
    <n v="1603"/>
    <x v="5"/>
    <n v="2024"/>
  </r>
  <r>
    <d v="2024-06-22T00:00:00"/>
    <n v="3112"/>
    <n v="24.32"/>
    <n v="42"/>
    <x v="0"/>
    <x v="0"/>
    <x v="0"/>
    <s v="Sunny"/>
    <x v="1"/>
    <n v="3208"/>
    <x v="6"/>
    <n v="2024"/>
  </r>
  <r>
    <d v="2025-01-14T00:00:00"/>
    <n v="3667"/>
    <n v="41.34"/>
    <n v="42"/>
    <x v="1"/>
    <x v="2"/>
    <x v="0"/>
    <s v="Roman"/>
    <x v="2"/>
    <n v="2692"/>
    <x v="0"/>
    <n v="2025"/>
  </r>
  <r>
    <d v="2024-11-09T00:00:00"/>
    <n v="564"/>
    <n v="215.95000000000002"/>
    <n v="42"/>
    <x v="1"/>
    <x v="2"/>
    <x v="2"/>
    <s v="Jenny"/>
    <x v="3"/>
    <n v="684"/>
    <x v="11"/>
    <n v="2024"/>
  </r>
  <r>
    <d v="2024-07-14T00:00:00"/>
    <n v="2422"/>
    <n v="213.45000000000002"/>
    <n v="42"/>
    <x v="1"/>
    <x v="2"/>
    <x v="3"/>
    <s v="Suraj"/>
    <x v="0"/>
    <n v="1493"/>
    <x v="1"/>
    <n v="2024"/>
  </r>
  <r>
    <d v="2024-07-03T00:00:00"/>
    <n v="3423"/>
    <n v="20.38"/>
    <n v="42"/>
    <x v="1"/>
    <x v="0"/>
    <x v="3"/>
    <s v="Raveena"/>
    <x v="4"/>
    <n v="2343"/>
    <x v="1"/>
    <n v="2024"/>
  </r>
  <r>
    <d v="2024-11-01T00:00:00"/>
    <n v="2732"/>
    <n v="174.05"/>
    <n v="42"/>
    <x v="2"/>
    <x v="1"/>
    <x v="1"/>
    <s v="Suraj"/>
    <x v="2"/>
    <n v="2933"/>
    <x v="11"/>
    <n v="2024"/>
  </r>
  <r>
    <d v="2024-10-30T00:00:00"/>
    <n v="3320"/>
    <n v="223.5"/>
    <n v="42"/>
    <x v="2"/>
    <x v="1"/>
    <x v="2"/>
    <s v="Surya"/>
    <x v="1"/>
    <n v="983"/>
    <x v="8"/>
    <n v="2024"/>
  </r>
  <r>
    <d v="2024-07-16T00:00:00"/>
    <n v="3077"/>
    <n v="242.3"/>
    <n v="42"/>
    <x v="2"/>
    <x v="0"/>
    <x v="0"/>
    <s v="Reena"/>
    <x v="2"/>
    <n v="3715"/>
    <x v="1"/>
    <n v="2024"/>
  </r>
  <r>
    <d v="2024-06-10T00:00:00"/>
    <n v="3694"/>
    <n v="47.78"/>
    <n v="42"/>
    <x v="2"/>
    <x v="1"/>
    <x v="0"/>
    <s v="Mohan"/>
    <x v="1"/>
    <n v="2486"/>
    <x v="6"/>
    <n v="2024"/>
  </r>
  <r>
    <d v="2024-10-17T00:00:00"/>
    <n v="1220"/>
    <n v="218.3"/>
    <n v="43"/>
    <x v="3"/>
    <x v="2"/>
    <x v="3"/>
    <s v="Reena"/>
    <x v="4"/>
    <n v="832"/>
    <x v="8"/>
    <n v="2024"/>
  </r>
  <r>
    <d v="2024-07-21T00:00:00"/>
    <n v="1023"/>
    <n v="160.10000000000002"/>
    <n v="43"/>
    <x v="3"/>
    <x v="0"/>
    <x v="1"/>
    <s v="Suraj"/>
    <x v="2"/>
    <n v="3691"/>
    <x v="1"/>
    <n v="2024"/>
  </r>
  <r>
    <d v="2025-01-28T00:00:00"/>
    <n v="1695"/>
    <n v="219.35000000000002"/>
    <n v="43"/>
    <x v="0"/>
    <x v="2"/>
    <x v="3"/>
    <s v="Rohit"/>
    <x v="3"/>
    <n v="1783"/>
    <x v="0"/>
    <n v="2025"/>
  </r>
  <r>
    <d v="2024-10-15T00:00:00"/>
    <n v="3165"/>
    <n v="47.84"/>
    <n v="43"/>
    <x v="0"/>
    <x v="1"/>
    <x v="2"/>
    <s v="Reena"/>
    <x v="2"/>
    <n v="1370"/>
    <x v="8"/>
    <n v="2024"/>
  </r>
  <r>
    <d v="2025-04-01T00:00:00"/>
    <n v="533"/>
    <n v="244.8"/>
    <n v="43"/>
    <x v="1"/>
    <x v="0"/>
    <x v="1"/>
    <s v="Sunny"/>
    <x v="2"/>
    <n v="2766"/>
    <x v="2"/>
    <n v="2025"/>
  </r>
  <r>
    <d v="2025-05-10T00:00:00"/>
    <n v="1174"/>
    <n v="44"/>
    <n v="43"/>
    <x v="2"/>
    <x v="2"/>
    <x v="2"/>
    <s v="Bobby"/>
    <x v="2"/>
    <n v="2150"/>
    <x v="10"/>
    <n v="2025"/>
  </r>
  <r>
    <d v="2025-02-14T00:00:00"/>
    <n v="3047"/>
    <n v="149.9"/>
    <n v="43"/>
    <x v="2"/>
    <x v="0"/>
    <x v="0"/>
    <s v="Reena"/>
    <x v="1"/>
    <n v="650"/>
    <x v="3"/>
    <n v="2025"/>
  </r>
  <r>
    <d v="2025-02-10T00:00:00"/>
    <n v="3630"/>
    <n v="166.4"/>
    <n v="43"/>
    <x v="2"/>
    <x v="0"/>
    <x v="3"/>
    <s v="Roman"/>
    <x v="4"/>
    <n v="1998"/>
    <x v="3"/>
    <n v="2025"/>
  </r>
  <r>
    <d v="2025-01-11T00:00:00"/>
    <n v="3975"/>
    <n v="196.20000000000002"/>
    <n v="43"/>
    <x v="2"/>
    <x v="1"/>
    <x v="1"/>
    <s v="Akash"/>
    <x v="2"/>
    <n v="1923"/>
    <x v="0"/>
    <n v="2025"/>
  </r>
  <r>
    <d v="2025-01-05T00:00:00"/>
    <n v="2387"/>
    <n v="31.42"/>
    <n v="43"/>
    <x v="2"/>
    <x v="0"/>
    <x v="3"/>
    <s v="Jenny"/>
    <x v="5"/>
    <n v="2602"/>
    <x v="0"/>
    <n v="2025"/>
  </r>
  <r>
    <d v="2025-01-01T00:00:00"/>
    <n v="3037"/>
    <n v="25.26"/>
    <n v="43"/>
    <x v="2"/>
    <x v="1"/>
    <x v="1"/>
    <s v="Reena"/>
    <x v="3"/>
    <n v="2570"/>
    <x v="0"/>
    <n v="2025"/>
  </r>
  <r>
    <d v="2024-12-12T00:00:00"/>
    <n v="783"/>
    <n v="244"/>
    <n v="43"/>
    <x v="2"/>
    <x v="0"/>
    <x v="0"/>
    <s v="Jenny"/>
    <x v="3"/>
    <n v="3135"/>
    <x v="4"/>
    <n v="2024"/>
  </r>
  <r>
    <d v="2025-04-19T00:00:00"/>
    <n v="3502"/>
    <n v="46.54"/>
    <n v="44"/>
    <x v="3"/>
    <x v="2"/>
    <x v="1"/>
    <s v="Rohit"/>
    <x v="5"/>
    <n v="894"/>
    <x v="2"/>
    <n v="2025"/>
  </r>
  <r>
    <d v="2025-01-21T00:00:00"/>
    <n v="1183"/>
    <n v="38.44"/>
    <n v="44"/>
    <x v="3"/>
    <x v="1"/>
    <x v="1"/>
    <s v="Raveena"/>
    <x v="4"/>
    <n v="1838"/>
    <x v="0"/>
    <n v="2025"/>
  </r>
  <r>
    <d v="2025-01-02T00:00:00"/>
    <n v="2432"/>
    <n v="150.65"/>
    <n v="44"/>
    <x v="3"/>
    <x v="0"/>
    <x v="1"/>
    <s v="Bobby"/>
    <x v="3"/>
    <n v="3000"/>
    <x v="0"/>
    <n v="2025"/>
  </r>
  <r>
    <d v="2024-06-20T00:00:00"/>
    <n v="2817"/>
    <n v="16.68"/>
    <n v="44"/>
    <x v="3"/>
    <x v="1"/>
    <x v="2"/>
    <s v="Raveena"/>
    <x v="3"/>
    <n v="2071"/>
    <x v="6"/>
    <n v="2024"/>
  </r>
  <r>
    <d v="2024-10-03T00:00:00"/>
    <n v="3731"/>
    <n v="206.55"/>
    <n v="44"/>
    <x v="0"/>
    <x v="1"/>
    <x v="3"/>
    <s v="Reena"/>
    <x v="0"/>
    <n v="586"/>
    <x v="8"/>
    <n v="2024"/>
  </r>
  <r>
    <d v="2024-10-01T00:00:00"/>
    <n v="3689"/>
    <n v="11.16"/>
    <n v="44"/>
    <x v="0"/>
    <x v="2"/>
    <x v="0"/>
    <s v="Raveena"/>
    <x v="0"/>
    <n v="2354"/>
    <x v="8"/>
    <n v="2024"/>
  </r>
  <r>
    <d v="2024-06-26T00:00:00"/>
    <n v="3986"/>
    <n v="37.200000000000003"/>
    <n v="44"/>
    <x v="0"/>
    <x v="2"/>
    <x v="1"/>
    <s v="Reena"/>
    <x v="5"/>
    <n v="1741"/>
    <x v="6"/>
    <n v="2024"/>
  </r>
  <r>
    <d v="2024-10-05T00:00:00"/>
    <n v="2254"/>
    <n v="171.45000000000002"/>
    <n v="44"/>
    <x v="1"/>
    <x v="1"/>
    <x v="0"/>
    <s v="Rohit"/>
    <x v="3"/>
    <n v="2457"/>
    <x v="8"/>
    <n v="2024"/>
  </r>
  <r>
    <d v="2024-08-07T00:00:00"/>
    <n v="1679"/>
    <n v="32.299999999999997"/>
    <n v="44"/>
    <x v="1"/>
    <x v="1"/>
    <x v="1"/>
    <s v="Akash"/>
    <x v="0"/>
    <n v="2775"/>
    <x v="5"/>
    <n v="2024"/>
  </r>
  <r>
    <d v="2025-04-20T00:00:00"/>
    <n v="2276"/>
    <n v="144.85"/>
    <n v="45"/>
    <x v="3"/>
    <x v="1"/>
    <x v="3"/>
    <s v="Bobby"/>
    <x v="5"/>
    <n v="1244"/>
    <x v="2"/>
    <n v="2025"/>
  </r>
  <r>
    <d v="2025-04-09T00:00:00"/>
    <n v="1027"/>
    <n v="211.3"/>
    <n v="45"/>
    <x v="0"/>
    <x v="2"/>
    <x v="2"/>
    <s v="Mohan"/>
    <x v="0"/>
    <n v="4009"/>
    <x v="2"/>
    <n v="2025"/>
  </r>
  <r>
    <d v="2024-09-23T00:00:00"/>
    <n v="1914"/>
    <n v="28.96"/>
    <n v="45"/>
    <x v="1"/>
    <x v="2"/>
    <x v="0"/>
    <s v="Akash"/>
    <x v="4"/>
    <n v="4243"/>
    <x v="9"/>
    <n v="2024"/>
  </r>
  <r>
    <d v="2024-11-26T00:00:00"/>
    <n v="3501"/>
    <n v="48.980000000000004"/>
    <n v="45"/>
    <x v="2"/>
    <x v="0"/>
    <x v="0"/>
    <s v="Naveen"/>
    <x v="3"/>
    <n v="3017"/>
    <x v="11"/>
    <n v="2024"/>
  </r>
  <r>
    <d v="2024-12-09T00:00:00"/>
    <n v="3560"/>
    <n v="228.9"/>
    <n v="46"/>
    <x v="3"/>
    <x v="2"/>
    <x v="2"/>
    <s v="Surya"/>
    <x v="0"/>
    <n v="3784"/>
    <x v="4"/>
    <n v="2024"/>
  </r>
  <r>
    <d v="2024-10-23T00:00:00"/>
    <n v="1521"/>
    <n v="145.4"/>
    <n v="46"/>
    <x v="3"/>
    <x v="2"/>
    <x v="1"/>
    <s v="Rohit"/>
    <x v="1"/>
    <n v="1577"/>
    <x v="8"/>
    <n v="2024"/>
  </r>
  <r>
    <d v="2025-03-20T00:00:00"/>
    <n v="1581"/>
    <n v="48.800000000000004"/>
    <n v="46"/>
    <x v="0"/>
    <x v="2"/>
    <x v="1"/>
    <s v="Naveen"/>
    <x v="1"/>
    <n v="1286"/>
    <x v="7"/>
    <n v="2025"/>
  </r>
  <r>
    <d v="2024-12-21T00:00:00"/>
    <n v="2954"/>
    <n v="164.05"/>
    <n v="46"/>
    <x v="2"/>
    <x v="0"/>
    <x v="1"/>
    <s v="Sunny"/>
    <x v="4"/>
    <n v="1488"/>
    <x v="4"/>
    <n v="2024"/>
  </r>
  <r>
    <d v="2025-04-14T00:00:00"/>
    <n v="2126"/>
    <n v="197.3"/>
    <n v="47"/>
    <x v="3"/>
    <x v="1"/>
    <x v="2"/>
    <s v="Rohit"/>
    <x v="4"/>
    <n v="2357"/>
    <x v="2"/>
    <n v="2025"/>
  </r>
  <r>
    <d v="2025-03-26T00:00:00"/>
    <n v="3990"/>
    <n v="179.25"/>
    <n v="47"/>
    <x v="3"/>
    <x v="1"/>
    <x v="1"/>
    <s v="Suraj"/>
    <x v="3"/>
    <n v="926"/>
    <x v="7"/>
    <n v="2025"/>
  </r>
  <r>
    <d v="2024-12-15T00:00:00"/>
    <n v="2581"/>
    <n v="38.18"/>
    <n v="47"/>
    <x v="3"/>
    <x v="2"/>
    <x v="0"/>
    <s v="Surya"/>
    <x v="0"/>
    <n v="4041"/>
    <x v="4"/>
    <n v="2024"/>
  </r>
  <r>
    <d v="2024-11-04T00:00:00"/>
    <n v="552"/>
    <n v="29.76"/>
    <n v="47"/>
    <x v="3"/>
    <x v="1"/>
    <x v="1"/>
    <s v="Suraj"/>
    <x v="2"/>
    <n v="1741"/>
    <x v="11"/>
    <n v="2024"/>
  </r>
  <r>
    <d v="2024-10-04T00:00:00"/>
    <n v="1447"/>
    <n v="131.05000000000001"/>
    <n v="47"/>
    <x v="3"/>
    <x v="2"/>
    <x v="1"/>
    <s v="Reena"/>
    <x v="2"/>
    <n v="1483"/>
    <x v="8"/>
    <n v="2024"/>
  </r>
  <r>
    <d v="2025-04-11T00:00:00"/>
    <n v="2125"/>
    <n v="41.980000000000004"/>
    <n v="47"/>
    <x v="0"/>
    <x v="2"/>
    <x v="2"/>
    <s v="Sunny"/>
    <x v="1"/>
    <n v="3807"/>
    <x v="2"/>
    <n v="2025"/>
  </r>
  <r>
    <d v="2025-03-02T00:00:00"/>
    <n v="1880"/>
    <n v="20.36"/>
    <n v="47"/>
    <x v="0"/>
    <x v="2"/>
    <x v="1"/>
    <s v="Radhe"/>
    <x v="1"/>
    <n v="3289"/>
    <x v="7"/>
    <n v="2025"/>
  </r>
  <r>
    <d v="2024-08-22T00:00:00"/>
    <n v="1824"/>
    <n v="10.52"/>
    <n v="47"/>
    <x v="0"/>
    <x v="1"/>
    <x v="1"/>
    <s v="Suraj"/>
    <x v="1"/>
    <n v="2672"/>
    <x v="5"/>
    <n v="2024"/>
  </r>
  <r>
    <d v="2025-02-11T00:00:00"/>
    <n v="2119"/>
    <n v="150.85"/>
    <n v="47"/>
    <x v="2"/>
    <x v="1"/>
    <x v="2"/>
    <s v="Surya"/>
    <x v="4"/>
    <n v="1897"/>
    <x v="3"/>
    <n v="2025"/>
  </r>
  <r>
    <d v="2025-02-04T00:00:00"/>
    <n v="798"/>
    <n v="153.05000000000001"/>
    <n v="47"/>
    <x v="2"/>
    <x v="0"/>
    <x v="3"/>
    <s v="Rohit"/>
    <x v="3"/>
    <n v="1774"/>
    <x v="3"/>
    <n v="2025"/>
  </r>
  <r>
    <d v="2025-01-31T00:00:00"/>
    <n v="3645"/>
    <n v="188.25"/>
    <n v="47"/>
    <x v="2"/>
    <x v="0"/>
    <x v="1"/>
    <s v="Raveena"/>
    <x v="3"/>
    <n v="2675"/>
    <x v="0"/>
    <n v="2025"/>
  </r>
  <r>
    <d v="2024-09-07T00:00:00"/>
    <n v="1784"/>
    <n v="149.9"/>
    <n v="47"/>
    <x v="2"/>
    <x v="2"/>
    <x v="3"/>
    <s v="Sunny"/>
    <x v="4"/>
    <n v="2814"/>
    <x v="9"/>
    <n v="2024"/>
  </r>
  <r>
    <d v="2025-04-03T00:00:00"/>
    <n v="864"/>
    <n v="11.38"/>
    <n v="48"/>
    <x v="3"/>
    <x v="1"/>
    <x v="0"/>
    <s v="Suraj"/>
    <x v="2"/>
    <n v="3649"/>
    <x v="2"/>
    <n v="2025"/>
  </r>
  <r>
    <d v="2025-03-27T00:00:00"/>
    <n v="3020"/>
    <n v="190.25"/>
    <n v="48"/>
    <x v="0"/>
    <x v="0"/>
    <x v="1"/>
    <s v="Sunny"/>
    <x v="1"/>
    <n v="3798"/>
    <x v="7"/>
    <n v="2025"/>
  </r>
  <r>
    <d v="2024-11-23T00:00:00"/>
    <n v="1348"/>
    <n v="29.38"/>
    <n v="48"/>
    <x v="0"/>
    <x v="0"/>
    <x v="1"/>
    <s v="Sunny"/>
    <x v="3"/>
    <n v="2647"/>
    <x v="11"/>
    <n v="2024"/>
  </r>
  <r>
    <d v="2024-10-11T00:00:00"/>
    <n v="2646"/>
    <n v="34.340000000000003"/>
    <n v="48"/>
    <x v="0"/>
    <x v="1"/>
    <x v="3"/>
    <s v="Bobby"/>
    <x v="0"/>
    <n v="2662"/>
    <x v="8"/>
    <n v="2024"/>
  </r>
  <r>
    <d v="2024-10-09T00:00:00"/>
    <n v="2644"/>
    <n v="17.84"/>
    <n v="48"/>
    <x v="0"/>
    <x v="2"/>
    <x v="0"/>
    <s v="Naveen"/>
    <x v="0"/>
    <n v="2194"/>
    <x v="8"/>
    <n v="2024"/>
  </r>
  <r>
    <d v="2024-09-16T00:00:00"/>
    <n v="3293"/>
    <n v="49.58"/>
    <n v="48"/>
    <x v="0"/>
    <x v="1"/>
    <x v="1"/>
    <s v="Bobby"/>
    <x v="1"/>
    <n v="3397"/>
    <x v="9"/>
    <n v="2024"/>
  </r>
  <r>
    <d v="2025-02-16T00:00:00"/>
    <n v="3057"/>
    <n v="43.5"/>
    <n v="48"/>
    <x v="1"/>
    <x v="2"/>
    <x v="0"/>
    <s v="Radhe"/>
    <x v="4"/>
    <n v="1648"/>
    <x v="3"/>
    <n v="2025"/>
  </r>
  <r>
    <d v="2025-02-02T00:00:00"/>
    <n v="3969"/>
    <n v="11.78"/>
    <n v="48"/>
    <x v="1"/>
    <x v="0"/>
    <x v="1"/>
    <s v="Reena"/>
    <x v="4"/>
    <n v="2396"/>
    <x v="3"/>
    <n v="2025"/>
  </r>
  <r>
    <d v="2024-12-04T00:00:00"/>
    <n v="3734"/>
    <n v="15.96"/>
    <n v="48"/>
    <x v="1"/>
    <x v="2"/>
    <x v="0"/>
    <s v="Sunny"/>
    <x v="1"/>
    <n v="2381"/>
    <x v="4"/>
    <n v="2024"/>
  </r>
  <r>
    <d v="2024-11-29T00:00:00"/>
    <n v="1615"/>
    <n v="190.05"/>
    <n v="48"/>
    <x v="1"/>
    <x v="0"/>
    <x v="1"/>
    <s v="Mohan"/>
    <x v="5"/>
    <n v="2724"/>
    <x v="11"/>
    <n v="2024"/>
  </r>
  <r>
    <d v="2024-10-19T00:00:00"/>
    <n v="3384"/>
    <n v="208.35000000000002"/>
    <n v="48"/>
    <x v="1"/>
    <x v="1"/>
    <x v="0"/>
    <s v="Radhe"/>
    <x v="5"/>
    <n v="4295"/>
    <x v="8"/>
    <n v="2024"/>
  </r>
  <r>
    <d v="2024-09-25T00:00:00"/>
    <n v="2335"/>
    <n v="191.5"/>
    <n v="48"/>
    <x v="1"/>
    <x v="2"/>
    <x v="3"/>
    <s v="Surya"/>
    <x v="4"/>
    <n v="690"/>
    <x v="9"/>
    <n v="2024"/>
  </r>
  <r>
    <d v="2024-08-01T00:00:00"/>
    <n v="2742"/>
    <n v="28.14"/>
    <n v="48"/>
    <x v="1"/>
    <x v="0"/>
    <x v="0"/>
    <s v="Jenny"/>
    <x v="2"/>
    <n v="2989"/>
    <x v="5"/>
    <n v="2024"/>
  </r>
  <r>
    <d v="2024-06-27T00:00:00"/>
    <n v="728"/>
    <n v="171.85000000000002"/>
    <n v="48"/>
    <x v="1"/>
    <x v="1"/>
    <x v="3"/>
    <s v="Roman"/>
    <x v="4"/>
    <n v="2615"/>
    <x v="6"/>
    <n v="2024"/>
  </r>
  <r>
    <d v="2024-09-28T00:00:00"/>
    <n v="2360"/>
    <n v="145.6"/>
    <n v="49"/>
    <x v="3"/>
    <x v="2"/>
    <x v="1"/>
    <s v="Suraj"/>
    <x v="3"/>
    <n v="2920"/>
    <x v="9"/>
    <n v="2024"/>
  </r>
  <r>
    <d v="2025-04-02T00:00:00"/>
    <n v="1750"/>
    <n v="125.7"/>
    <n v="49"/>
    <x v="0"/>
    <x v="0"/>
    <x v="1"/>
    <s v="Surya"/>
    <x v="3"/>
    <n v="503"/>
    <x v="2"/>
    <n v="2025"/>
  </r>
  <r>
    <d v="2024-12-19T00:00:00"/>
    <n v="3302"/>
    <n v="161.9"/>
    <n v="49"/>
    <x v="0"/>
    <x v="1"/>
    <x v="1"/>
    <s v="Suraj"/>
    <x v="1"/>
    <n v="4192"/>
    <x v="4"/>
    <n v="2024"/>
  </r>
  <r>
    <d v="2024-09-05T00:00:00"/>
    <n v="3506"/>
    <n v="156.20000000000002"/>
    <n v="49"/>
    <x v="0"/>
    <x v="0"/>
    <x v="1"/>
    <s v="Rohit"/>
    <x v="3"/>
    <n v="2512"/>
    <x v="9"/>
    <n v="2024"/>
  </r>
  <r>
    <d v="2024-08-23T00:00:00"/>
    <n v="2559"/>
    <n v="204.65"/>
    <n v="49"/>
    <x v="0"/>
    <x v="1"/>
    <x v="0"/>
    <s v="Roman"/>
    <x v="1"/>
    <n v="675"/>
    <x v="5"/>
    <n v="2024"/>
  </r>
  <r>
    <d v="2024-08-21T00:00:00"/>
    <n v="2867"/>
    <n v="210.75"/>
    <n v="49"/>
    <x v="0"/>
    <x v="0"/>
    <x v="0"/>
    <s v="Suraj"/>
    <x v="5"/>
    <n v="1046"/>
    <x v="5"/>
    <n v="2024"/>
  </r>
  <r>
    <d v="2024-08-02T00:00:00"/>
    <n v="1480"/>
    <n v="25.12"/>
    <n v="49"/>
    <x v="0"/>
    <x v="1"/>
    <x v="0"/>
    <s v="Radhe"/>
    <x v="0"/>
    <n v="704"/>
    <x v="5"/>
    <n v="2024"/>
  </r>
  <r>
    <d v="2024-07-23T00:00:00"/>
    <n v="2165"/>
    <n v="211.25"/>
    <n v="49"/>
    <x v="0"/>
    <x v="1"/>
    <x v="1"/>
    <s v="Surya"/>
    <x v="3"/>
    <n v="2741"/>
    <x v="1"/>
    <n v="2024"/>
  </r>
  <r>
    <d v="2025-05-04T00:00:00"/>
    <n v="787"/>
    <n v="44.68"/>
    <n v="49"/>
    <x v="2"/>
    <x v="2"/>
    <x v="2"/>
    <s v="Radhe"/>
    <x v="3"/>
    <n v="1618"/>
    <x v="10"/>
    <n v="2025"/>
  </r>
  <r>
    <d v="2024-10-26T00:00:00"/>
    <n v="3191"/>
    <n v="193.25"/>
    <n v="50"/>
    <x v="3"/>
    <x v="1"/>
    <x v="1"/>
    <s v="Bobby"/>
    <x v="0"/>
    <n v="1163"/>
    <x v="8"/>
    <n v="2024"/>
  </r>
  <r>
    <d v="2024-08-24T00:00:00"/>
    <n v="1425"/>
    <n v="23.14"/>
    <n v="50"/>
    <x v="3"/>
    <x v="2"/>
    <x v="0"/>
    <s v="Bobby"/>
    <x v="2"/>
    <n v="3916"/>
    <x v="5"/>
    <n v="2024"/>
  </r>
  <r>
    <d v="2024-12-25T00:00:00"/>
    <n v="3790"/>
    <n v="33.619999999999997"/>
    <n v="50"/>
    <x v="0"/>
    <x v="2"/>
    <x v="0"/>
    <s v="Radhe"/>
    <x v="5"/>
    <n v="2990"/>
    <x v="4"/>
    <n v="2024"/>
  </r>
  <r>
    <d v="2024-08-31T00:00:00"/>
    <n v="3962"/>
    <n v="201.9"/>
    <n v="50"/>
    <x v="0"/>
    <x v="2"/>
    <x v="1"/>
    <s v="Bobby"/>
    <x v="4"/>
    <n v="3137"/>
    <x v="5"/>
    <n v="2024"/>
  </r>
  <r>
    <d v="2024-06-11T00:00:00"/>
    <n v="2282"/>
    <n v="15.38"/>
    <n v="50"/>
    <x v="0"/>
    <x v="1"/>
    <x v="0"/>
    <s v="Suraj"/>
    <x v="2"/>
    <n v="1720"/>
    <x v="6"/>
    <n v="2024"/>
  </r>
  <r>
    <d v="2025-04-29T00:00:00"/>
    <n v="2829"/>
    <n v="42.26"/>
    <n v="50"/>
    <x v="1"/>
    <x v="2"/>
    <x v="3"/>
    <s v="Radhe"/>
    <x v="3"/>
    <n v="3785"/>
    <x v="2"/>
    <n v="2025"/>
  </r>
  <r>
    <d v="2025-03-24T00:00:00"/>
    <n v="1364"/>
    <n v="35.1"/>
    <n v="50"/>
    <x v="1"/>
    <x v="2"/>
    <x v="1"/>
    <s v="Raveena"/>
    <x v="4"/>
    <n v="561"/>
    <x v="7"/>
    <n v="2025"/>
  </r>
  <r>
    <d v="2024-10-31T00:00:00"/>
    <n v="1966"/>
    <n v="29.28"/>
    <n v="50"/>
    <x v="1"/>
    <x v="2"/>
    <x v="3"/>
    <s v="Raveena"/>
    <x v="5"/>
    <n v="1283"/>
    <x v="8"/>
    <n v="2024"/>
  </r>
  <r>
    <d v="2025-03-13T00:00:00"/>
    <n v="2017"/>
    <n v="155.9"/>
    <n v="50"/>
    <x v="2"/>
    <x v="0"/>
    <x v="1"/>
    <s v="Mohan"/>
    <x v="2"/>
    <n v="939"/>
    <x v="7"/>
    <n v="2025"/>
  </r>
  <r>
    <d v="2024-09-22T00:00:00"/>
    <n v="3443"/>
    <n v="149.45000000000002"/>
    <n v="50"/>
    <x v="2"/>
    <x v="1"/>
    <x v="3"/>
    <s v="Akash"/>
    <x v="5"/>
    <n v="1578"/>
    <x v="9"/>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6A390-E8ED-4A12-89D5-AB821563E9E4}" name="Data" cacheId="6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0">
    <pivotField numFmtId="14" showAll="0"/>
    <pivotField dataField="1" showAll="0"/>
    <pivotField dataField="1" showAll="0"/>
    <pivotField dataField="1" showAll="0"/>
    <pivotField showAll="0"/>
    <pivotField showAll="0"/>
    <pivotField showAll="0"/>
    <pivotField dataField="1" showAll="0"/>
    <pivotField showAll="0"/>
    <pivotField showAll="0"/>
  </pivotFields>
  <rowItems count="1">
    <i/>
  </rowItems>
  <colFields count="1">
    <field x="-2"/>
  </colFields>
  <colItems count="4">
    <i>
      <x/>
    </i>
    <i i="1">
      <x v="1"/>
    </i>
    <i i="2">
      <x v="2"/>
    </i>
    <i i="3">
      <x v="3"/>
    </i>
  </colItems>
  <dataFields count="4">
    <dataField name="Count of Customer Name" fld="7" subtotal="count" baseField="0" baseItem="0"/>
    <dataField name="Sum of Sales" fld="1" baseField="0" baseItem="0" numFmtId="164"/>
    <dataField name="Sum of Profit" fld="2" baseField="0" baseItem="0" numFmtId="164"/>
    <dataField name="Sum of Quantity" fld="3" baseField="0" baseItem="0"/>
  </dataFields>
  <formats count="2">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E0929A-EAF7-4FAD-A109-6696E66F9CFF}" name="PivotTable1" cacheId="6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2">
    <pivotField numFmtId="14" showAll="0"/>
    <pivotField dataField="1" showAll="0"/>
    <pivotField showAll="0"/>
    <pivotField showAll="0"/>
    <pivotField axis="axisRow" showAll="0">
      <items count="5">
        <item x="2"/>
        <item x="1"/>
        <item x="0"/>
        <item x="3"/>
        <item t="default"/>
      </items>
    </pivotField>
    <pivotField showAll="0"/>
    <pivotField showAll="0">
      <items count="5">
        <item x="2"/>
        <item x="1"/>
        <item x="3"/>
        <item x="0"/>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1" baseField="0" baseItem="0" numFmtId="164"/>
  </dataFields>
  <formats count="1">
    <format dxfId="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5DBEA0-D91A-4F3D-BE93-38D5E4CEBF71}" name="PivotTable2" cacheId="6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5" firstHeaderRow="1" firstDataRow="1" firstDataCol="1"/>
  <pivotFields count="12">
    <pivotField numFmtId="14" showAll="0"/>
    <pivotField dataField="1" showAll="0"/>
    <pivotField showAll="0"/>
    <pivotField showAll="0"/>
    <pivotField showAll="0">
      <items count="5">
        <item x="2"/>
        <item x="1"/>
        <item x="0"/>
        <item x="3"/>
        <item t="default"/>
      </items>
    </pivotField>
    <pivotField axis="axisRow" showAll="0">
      <items count="4">
        <item x="0"/>
        <item x="1"/>
        <item x="2"/>
        <item t="default"/>
      </items>
    </pivotField>
    <pivotField showAll="0">
      <items count="5">
        <item x="2"/>
        <item x="1"/>
        <item x="3"/>
        <item x="0"/>
        <item t="default"/>
      </items>
    </pivotField>
    <pivotField showAll="0"/>
    <pivotField showAll="0"/>
    <pivotField showAll="0"/>
    <pivotField showAll="0">
      <items count="13">
        <item x="0"/>
        <item x="3"/>
        <item x="7"/>
        <item x="2"/>
        <item x="10"/>
        <item x="6"/>
        <item x="1"/>
        <item x="5"/>
        <item x="9"/>
        <item x="8"/>
        <item x="11"/>
        <item x="4"/>
        <item t="default"/>
      </items>
    </pivotField>
    <pivotField showAll="0"/>
  </pivotFields>
  <rowFields count="1">
    <field x="5"/>
  </rowFields>
  <rowItems count="4">
    <i>
      <x/>
    </i>
    <i>
      <x v="1"/>
    </i>
    <i>
      <x v="2"/>
    </i>
    <i t="grand">
      <x/>
    </i>
  </rowItems>
  <colItems count="1">
    <i/>
  </colItems>
  <dataFields count="1">
    <dataField name="Sum of Sales" fld="1" baseField="0" baseItem="0" numFmtId="164"/>
  </dataFields>
  <formats count="1">
    <format dxfId="24">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5" count="1" selected="0">
            <x v="2"/>
          </reference>
        </references>
      </pivotArea>
    </chartFormat>
    <chartFormat chart="10" format="2">
      <pivotArea type="data" outline="0" fieldPosition="0">
        <references count="2">
          <reference field="4294967294" count="1" selected="0">
            <x v="0"/>
          </reference>
          <reference field="5" count="1" selected="0">
            <x v="1"/>
          </reference>
        </references>
      </pivotArea>
    </chartFormat>
    <chartFormat chart="10" format="3">
      <pivotArea type="data" outline="0" fieldPosition="0">
        <references count="2">
          <reference field="4294967294" count="1" selected="0">
            <x v="0"/>
          </reference>
          <reference field="5"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5" count="1" selected="0">
            <x v="0"/>
          </reference>
        </references>
      </pivotArea>
    </chartFormat>
    <chartFormat chart="13" format="10">
      <pivotArea type="data" outline="0" fieldPosition="0">
        <references count="2">
          <reference field="4294967294" count="1" selected="0">
            <x v="0"/>
          </reference>
          <reference field="5" count="1" selected="0">
            <x v="1"/>
          </reference>
        </references>
      </pivotArea>
    </chartFormat>
    <chartFormat chart="1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6F0DD-AE1D-47BD-B824-9899F0003769}" name="PivotTable3" cacheId="6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7" firstHeaderRow="1" firstDataRow="1" firstDataCol="1"/>
  <pivotFields count="12">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x="2"/>
        <item x="1"/>
        <item x="3"/>
        <item x="0"/>
        <item t="default"/>
      </items>
    </pivotField>
    <pivotField showAll="0"/>
    <pivotField axis="axisRow"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6">
    <i>
      <x v="4"/>
    </i>
    <i>
      <x/>
    </i>
    <i>
      <x v="3"/>
    </i>
    <i>
      <x v="5"/>
    </i>
    <i>
      <x v="2"/>
    </i>
    <i t="grand">
      <x/>
    </i>
  </rowItems>
  <colItems count="1">
    <i/>
  </colItems>
  <dataFields count="1">
    <dataField name="Sum of Sales" fld="1" baseField="0" baseItem="0" numFmtId="164"/>
  </dataFields>
  <formats count="1">
    <format dxfId="2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E3DECF-DD0D-4655-8022-6C148CA98DFE}" name="PivotTable4" cacheId="6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14" firstHeaderRow="1" firstDataRow="1" firstDataCol="1"/>
  <pivotFields count="12">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x="2"/>
        <item x="1"/>
        <item x="3"/>
        <item x="0"/>
        <item t="default"/>
      </items>
    </pivotField>
    <pivotField showAll="0"/>
    <pivotField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axis="axisRow" showAll="0">
      <items count="13">
        <item x="0"/>
        <item x="3"/>
        <item x="7"/>
        <item x="2"/>
        <item x="10"/>
        <item x="6"/>
        <item x="1"/>
        <item x="5"/>
        <item x="9"/>
        <item x="8"/>
        <item x="11"/>
        <item x="4"/>
        <item t="default"/>
      </items>
    </pivotField>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Sales" fld="1" baseField="0" baseItem="0" numFmtId="164"/>
  </dataFields>
  <formats count="1">
    <format dxfId="2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451206-C8DA-4D17-9812-2558E804F9D7}" name="PivotTable6" cacheId="6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C14" firstHeaderRow="0" firstDataRow="1" firstDataCol="1"/>
  <pivotFields count="12">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x="2"/>
        <item x="1"/>
        <item x="3"/>
        <item x="0"/>
        <item t="default"/>
      </items>
    </pivotField>
    <pivotField showAll="0"/>
    <pivotField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axis="axisRow" showAll="0">
      <items count="13">
        <item x="0"/>
        <item x="3"/>
        <item x="7"/>
        <item x="2"/>
        <item x="10"/>
        <item x="6"/>
        <item x="1"/>
        <item x="5"/>
        <item x="9"/>
        <item x="8"/>
        <item x="11"/>
        <item x="4"/>
        <item t="default"/>
      </items>
    </pivotField>
    <pivotField showAll="0"/>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numFmtId="164"/>
    <dataField name="Sum of Sales2" fld="1" showDataAs="percentOfCol" baseField="0" baseItem="0" numFmtId="10"/>
  </dataFields>
  <formats count="2">
    <format dxfId="21">
      <pivotArea outline="0" collapsedLevelsAreSubtotals="1" fieldPosition="0"/>
    </format>
    <format dxfId="20">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E8C809-91FB-4596-8572-A242942EA5EE}" name="PivotTable7" cacheId="6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numFmtId="14" showAll="0"/>
    <pivotField dataField="1" showAll="0"/>
    <pivotField dataField="1" showAll="0"/>
    <pivotField dataField="1" showAll="0"/>
    <pivotField showAll="0"/>
    <pivotField showAll="0"/>
    <pivotField showAll="0">
      <items count="5">
        <item x="2"/>
        <item x="1"/>
        <item x="3"/>
        <item x="0"/>
        <item t="default"/>
      </items>
    </pivotField>
    <pivotField showAll="0"/>
    <pivotField showAll="0"/>
    <pivotField dataField="1" showAll="0"/>
    <pivotField showAll="0"/>
    <pivotField showAll="0"/>
  </pivotFields>
  <rowItems count="1">
    <i/>
  </rowItems>
  <colFields count="1">
    <field x="-2"/>
  </colFields>
  <colItems count="4">
    <i>
      <x/>
    </i>
    <i i="1">
      <x v="1"/>
    </i>
    <i i="2">
      <x v="2"/>
    </i>
    <i i="3">
      <x v="3"/>
    </i>
  </colItems>
  <dataFields count="4">
    <dataField name="Sum of Sales" fld="1" baseField="0" baseItem="0"/>
    <dataField name="Sum of Profit" fld="2" baseField="0" baseItem="0"/>
    <dataField name="Sum of Quantity" fld="3" baseField="0" baseItem="0"/>
    <dataField name="Sum of Target" fld="9"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4A8E55EF-8C3B-4930-891C-78178A2CD523}" sourceName="Manager">
  <pivotTables>
    <pivotTable tabId="5" name="PivotTable2"/>
    <pivotTable tabId="9" name="PivotTable6"/>
    <pivotTable tabId="7" name="PivotTable4"/>
    <pivotTable tabId="4" name="PivotTable1"/>
    <pivotTable tabId="11" name="PivotTable7"/>
    <pivotTable tabId="6" name="PivotTable3"/>
  </pivotTables>
  <data>
    <tabular pivotCacheId="552196045">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A65743-70BC-4E19-963E-06AFBB8B0061}" sourceName="Month">
  <pivotTables>
    <pivotTable tabId="5" name="PivotTable2"/>
  </pivotTables>
  <data>
    <tabular pivotCacheId="552196045">
      <items count="12">
        <i x="0" s="1"/>
        <i x="3" s="1"/>
        <i x="7" s="1"/>
        <i x="2" s="1"/>
        <i x="10" s="1"/>
        <i x="6" s="1"/>
        <i x="1" s="1"/>
        <i x="5" s="1"/>
        <i x="9" s="1"/>
        <i x="8"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D3F10F7E-FF3C-432F-A8AD-53DC5F8678C3}" cache="Slicer_Manager" caption="Manager" rowHeight="336550"/>
  <slicer name="Month" xr10:uid="{8016F0DB-588B-47E4-A1D6-8EFEAB4D8C34}" cache="Slicer_Month" caption="Month"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1881A2-2C9A-4366-8483-F4B56774BF6D}" name="Table1" displayName="Table1" ref="A1:L350" totalsRowShown="0" headerRowDxfId="18" tableBorderDxfId="17">
  <autoFilter ref="A1:L350" xr:uid="{611881A2-2C9A-4366-8483-F4B56774BF6D}"/>
  <tableColumns count="12">
    <tableColumn id="1" xr3:uid="{4831EFF6-F836-4A2C-8D13-15049B385EEE}" name="Order Date" dataDxfId="16"/>
    <tableColumn id="2" xr3:uid="{FA9B78D4-BF53-45DF-B28D-B64CC9750ADF}" name="Sales" dataDxfId="15"/>
    <tableColumn id="3" xr3:uid="{42370D25-F080-416E-9198-EADEC8352ADB}" name="Profit" dataDxfId="14"/>
    <tableColumn id="4" xr3:uid="{4A21549B-E638-4353-8B28-09353A77736A}" name="Quantity" dataDxfId="13"/>
    <tableColumn id="5" xr3:uid="{4396ADCD-0554-490E-8625-171D3EC7D868}" name="Region" dataDxfId="12"/>
    <tableColumn id="6" xr3:uid="{D13C03A9-B7B4-47FA-89B1-A0700D5C6E9D}" name="Departments" dataDxfId="11"/>
    <tableColumn id="7" xr3:uid="{D0C14FDE-CB5D-4C03-99A9-DE23E9DF1B50}" name="Manager" dataDxfId="10"/>
    <tableColumn id="8" xr3:uid="{6CBCFDBF-18DE-4790-8D36-16257D23130F}" name="Customer Name" dataDxfId="9"/>
    <tableColumn id="9" xr3:uid="{EE27C4E3-4104-4AE8-8567-EF3FD0CAF359}" name="Product" dataDxfId="8"/>
    <tableColumn id="10" xr3:uid="{A1375A32-690A-4803-A606-918B8DBBA19E}" name="Target" dataDxfId="7"/>
    <tableColumn id="11" xr3:uid="{5ACFB09D-6AE5-4BC9-9D26-298D849C57B9}" name="Month">
      <calculatedColumnFormula>TEXT(A2,"mmm")</calculatedColumnFormula>
    </tableColumn>
    <tableColumn id="12" xr3:uid="{1990F104-75DC-47E5-8809-AD0F743B5C97}"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4F8BD-45FB-480A-ACCB-9E7C3CC36B74}">
  <dimension ref="A3:D8"/>
  <sheetViews>
    <sheetView zoomScale="73" workbookViewId="0">
      <selection activeCell="C9" sqref="C9"/>
    </sheetView>
  </sheetViews>
  <sheetFormatPr defaultRowHeight="20.399999999999999" x14ac:dyDescent="0.45"/>
  <cols>
    <col min="1" max="1" width="21.3828125" bestFit="1" customWidth="1"/>
    <col min="2" max="2" width="11.07421875" bestFit="1" customWidth="1"/>
    <col min="3" max="3" width="11.4609375" bestFit="1" customWidth="1"/>
    <col min="4" max="4" width="13.921875" bestFit="1" customWidth="1"/>
  </cols>
  <sheetData>
    <row r="3" spans="1:4" x14ac:dyDescent="0.45">
      <c r="A3" t="s">
        <v>39</v>
      </c>
      <c r="B3" t="s">
        <v>40</v>
      </c>
      <c r="C3" t="s">
        <v>41</v>
      </c>
      <c r="D3" t="s">
        <v>42</v>
      </c>
    </row>
    <row r="4" spans="1:4" x14ac:dyDescent="0.45">
      <c r="A4">
        <v>349</v>
      </c>
      <c r="B4" s="10">
        <v>786577</v>
      </c>
      <c r="C4" s="10">
        <v>39714.680000000008</v>
      </c>
      <c r="D4">
        <v>10778</v>
      </c>
    </row>
    <row r="7" spans="1:4" x14ac:dyDescent="0.45">
      <c r="A7" t="s">
        <v>43</v>
      </c>
      <c r="B7" t="s">
        <v>44</v>
      </c>
      <c r="C7" t="s">
        <v>45</v>
      </c>
      <c r="D7" t="s">
        <v>46</v>
      </c>
    </row>
    <row r="8" spans="1:4" ht="31.2" customHeight="1" x14ac:dyDescent="0.45">
      <c r="A8">
        <f>GETPIVOTDATA("Count of Customer Name",$A$3)</f>
        <v>349</v>
      </c>
      <c r="B8" s="10">
        <f>GETPIVOTDATA("Sum of Sales",$A$3)</f>
        <v>786577</v>
      </c>
      <c r="C8" s="10">
        <f>GETPIVOTDATA("Sum of Profit",$A$3)</f>
        <v>39714.680000000008</v>
      </c>
      <c r="D8">
        <f>GETPIVOTDATA("Sum of Quantity",$A$3)</f>
        <v>10778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014B-B498-47A7-9E11-3D0A55E03318}">
  <dimension ref="Z19"/>
  <sheetViews>
    <sheetView showGridLines="0" topLeftCell="O1" zoomScale="25" workbookViewId="0">
      <selection activeCell="Z19" sqref="Z19"/>
    </sheetView>
  </sheetViews>
  <sheetFormatPr defaultRowHeight="20.399999999999999" x14ac:dyDescent="0.45"/>
  <sheetData>
    <row r="19" spans="26:26" x14ac:dyDescent="0.45">
      <c r="Z19" t="s">
        <v>47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924C7-B60C-4A5B-A08C-9585EC2A3800}">
  <dimension ref="A3:B8"/>
  <sheetViews>
    <sheetView zoomScale="81" workbookViewId="0">
      <selection activeCell="I18" sqref="I18"/>
    </sheetView>
  </sheetViews>
  <sheetFormatPr defaultRowHeight="20.399999999999999" x14ac:dyDescent="0.45"/>
  <cols>
    <col min="1" max="1" width="11.765625" bestFit="1" customWidth="1"/>
    <col min="2" max="2" width="11.15234375" bestFit="1" customWidth="1"/>
  </cols>
  <sheetData>
    <row r="3" spans="1:2" x14ac:dyDescent="0.45">
      <c r="A3" s="16" t="s">
        <v>50</v>
      </c>
      <c r="B3" t="s">
        <v>40</v>
      </c>
    </row>
    <row r="4" spans="1:2" x14ac:dyDescent="0.45">
      <c r="A4" s="17" t="s">
        <v>27</v>
      </c>
      <c r="B4" s="10">
        <v>164125</v>
      </c>
    </row>
    <row r="5" spans="1:2" x14ac:dyDescent="0.45">
      <c r="A5" s="17" t="s">
        <v>19</v>
      </c>
      <c r="B5" s="10">
        <v>197185</v>
      </c>
    </row>
    <row r="6" spans="1:2" x14ac:dyDescent="0.45">
      <c r="A6" s="17" t="s">
        <v>10</v>
      </c>
      <c r="B6" s="10">
        <v>214885</v>
      </c>
    </row>
    <row r="7" spans="1:2" x14ac:dyDescent="0.45">
      <c r="A7" s="17" t="s">
        <v>29</v>
      </c>
      <c r="B7" s="10">
        <v>210382</v>
      </c>
    </row>
    <row r="8" spans="1:2" x14ac:dyDescent="0.45">
      <c r="A8" s="17" t="s">
        <v>51</v>
      </c>
      <c r="B8" s="10">
        <v>786577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83ADC-8768-416C-951B-378258624BE7}">
  <dimension ref="A1:B5"/>
  <sheetViews>
    <sheetView zoomScale="42" workbookViewId="0">
      <selection activeCell="I26" sqref="I26"/>
    </sheetView>
  </sheetViews>
  <sheetFormatPr defaultRowHeight="20.399999999999999" x14ac:dyDescent="0.45"/>
  <cols>
    <col min="1" max="1" width="16.765625" bestFit="1" customWidth="1"/>
    <col min="2" max="2" width="14.921875" bestFit="1" customWidth="1"/>
  </cols>
  <sheetData>
    <row r="1" spans="1:2" x14ac:dyDescent="0.45">
      <c r="A1" s="16" t="s">
        <v>50</v>
      </c>
      <c r="B1" t="s">
        <v>40</v>
      </c>
    </row>
    <row r="2" spans="1:2" x14ac:dyDescent="0.45">
      <c r="A2" s="17" t="s">
        <v>11</v>
      </c>
      <c r="B2" s="10">
        <v>272049</v>
      </c>
    </row>
    <row r="3" spans="1:2" x14ac:dyDescent="0.45">
      <c r="A3" s="17" t="s">
        <v>15</v>
      </c>
      <c r="B3" s="10">
        <v>271189</v>
      </c>
    </row>
    <row r="4" spans="1:2" x14ac:dyDescent="0.45">
      <c r="A4" s="17" t="s">
        <v>1</v>
      </c>
      <c r="B4" s="10">
        <v>243339</v>
      </c>
    </row>
    <row r="5" spans="1:2" x14ac:dyDescent="0.45">
      <c r="A5" s="17" t="s">
        <v>51</v>
      </c>
      <c r="B5" s="10">
        <v>786577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1B25B-5CC2-4CE4-A4E2-A51717FB97DE}">
  <dimension ref="A1:B7"/>
  <sheetViews>
    <sheetView zoomScale="74" workbookViewId="0">
      <selection activeCell="I15" sqref="I15"/>
    </sheetView>
  </sheetViews>
  <sheetFormatPr defaultRowHeight="20.399999999999999" x14ac:dyDescent="0.45"/>
  <cols>
    <col min="1" max="1" width="11.921875" bestFit="1" customWidth="1"/>
    <col min="2" max="2" width="11.07421875" bestFit="1" customWidth="1"/>
  </cols>
  <sheetData>
    <row r="1" spans="1:2" x14ac:dyDescent="0.45">
      <c r="A1" s="16" t="s">
        <v>50</v>
      </c>
      <c r="B1" t="s">
        <v>40</v>
      </c>
    </row>
    <row r="2" spans="1:2" x14ac:dyDescent="0.45">
      <c r="A2" s="17" t="s">
        <v>34</v>
      </c>
      <c r="B2" s="10">
        <v>132763</v>
      </c>
    </row>
    <row r="3" spans="1:2" x14ac:dyDescent="0.45">
      <c r="A3" s="17" t="s">
        <v>26</v>
      </c>
      <c r="B3" s="10">
        <v>135232</v>
      </c>
    </row>
    <row r="4" spans="1:2" x14ac:dyDescent="0.45">
      <c r="A4" s="17" t="s">
        <v>18</v>
      </c>
      <c r="B4" s="10">
        <v>140754</v>
      </c>
    </row>
    <row r="5" spans="1:2" x14ac:dyDescent="0.45">
      <c r="A5" s="17" t="s">
        <v>14</v>
      </c>
      <c r="B5" s="10">
        <v>141434</v>
      </c>
    </row>
    <row r="6" spans="1:2" x14ac:dyDescent="0.45">
      <c r="A6" s="17" t="s">
        <v>24</v>
      </c>
      <c r="B6" s="10">
        <v>142021</v>
      </c>
    </row>
    <row r="7" spans="1:2" x14ac:dyDescent="0.45">
      <c r="A7" s="17" t="s">
        <v>51</v>
      </c>
      <c r="B7" s="10">
        <v>692204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D8AD-58A9-4344-87E5-C65730D2FC92}">
  <dimension ref="A1:B14"/>
  <sheetViews>
    <sheetView zoomScale="77" workbookViewId="0">
      <selection activeCell="C18" sqref="C18"/>
    </sheetView>
  </sheetViews>
  <sheetFormatPr defaultRowHeight="20.399999999999999" x14ac:dyDescent="0.45"/>
  <cols>
    <col min="1" max="1" width="12.15234375" bestFit="1" customWidth="1"/>
    <col min="2" max="2" width="11.4609375" bestFit="1" customWidth="1"/>
  </cols>
  <sheetData>
    <row r="1" spans="1:2" x14ac:dyDescent="0.45">
      <c r="A1" s="16" t="s">
        <v>50</v>
      </c>
      <c r="B1" t="s">
        <v>40</v>
      </c>
    </row>
    <row r="2" spans="1:2" x14ac:dyDescent="0.45">
      <c r="A2" s="17" t="s">
        <v>52</v>
      </c>
      <c r="B2" s="10">
        <v>83232</v>
      </c>
    </row>
    <row r="3" spans="1:2" x14ac:dyDescent="0.45">
      <c r="A3" s="17" t="s">
        <v>53</v>
      </c>
      <c r="B3" s="10">
        <v>59999</v>
      </c>
    </row>
    <row r="4" spans="1:2" x14ac:dyDescent="0.45">
      <c r="A4" s="17" t="s">
        <v>54</v>
      </c>
      <c r="B4" s="10">
        <v>64905</v>
      </c>
    </row>
    <row r="5" spans="1:2" x14ac:dyDescent="0.45">
      <c r="A5" s="17" t="s">
        <v>55</v>
      </c>
      <c r="B5" s="10">
        <v>70871</v>
      </c>
    </row>
    <row r="6" spans="1:2" x14ac:dyDescent="0.45">
      <c r="A6" s="17" t="s">
        <v>56</v>
      </c>
      <c r="B6" s="10">
        <v>53344</v>
      </c>
    </row>
    <row r="7" spans="1:2" x14ac:dyDescent="0.45">
      <c r="A7" s="17" t="s">
        <v>57</v>
      </c>
      <c r="B7" s="10">
        <v>55370</v>
      </c>
    </row>
    <row r="8" spans="1:2" x14ac:dyDescent="0.45">
      <c r="A8" s="17" t="s">
        <v>58</v>
      </c>
      <c r="B8" s="10">
        <v>69092</v>
      </c>
    </row>
    <row r="9" spans="1:2" x14ac:dyDescent="0.45">
      <c r="A9" s="17" t="s">
        <v>59</v>
      </c>
      <c r="B9" s="10">
        <v>66435</v>
      </c>
    </row>
    <row r="10" spans="1:2" x14ac:dyDescent="0.45">
      <c r="A10" s="17" t="s">
        <v>60</v>
      </c>
      <c r="B10" s="10">
        <v>64847</v>
      </c>
    </row>
    <row r="11" spans="1:2" x14ac:dyDescent="0.45">
      <c r="A11" s="17" t="s">
        <v>61</v>
      </c>
      <c r="B11" s="10">
        <v>69067</v>
      </c>
    </row>
    <row r="12" spans="1:2" x14ac:dyDescent="0.45">
      <c r="A12" s="17" t="s">
        <v>62</v>
      </c>
      <c r="B12" s="10">
        <v>59962</v>
      </c>
    </row>
    <row r="13" spans="1:2" x14ac:dyDescent="0.45">
      <c r="A13" s="17" t="s">
        <v>63</v>
      </c>
      <c r="B13" s="10">
        <v>69453</v>
      </c>
    </row>
    <row r="14" spans="1:2" x14ac:dyDescent="0.45">
      <c r="A14" s="17" t="s">
        <v>51</v>
      </c>
      <c r="B14" s="10">
        <v>786577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7B885-E57C-48C4-945F-A26F0E537B7E}">
  <dimension ref="A1:C14"/>
  <sheetViews>
    <sheetView topLeftCell="D1" zoomScale="83" workbookViewId="0">
      <selection activeCell="G21" sqref="G21"/>
    </sheetView>
  </sheetViews>
  <sheetFormatPr defaultRowHeight="20.399999999999999" x14ac:dyDescent="0.45"/>
  <cols>
    <col min="1" max="1" width="11.4609375" bestFit="1" customWidth="1"/>
    <col min="2" max="2" width="11.07421875" bestFit="1" customWidth="1"/>
    <col min="3" max="3" width="12.07421875" bestFit="1" customWidth="1"/>
  </cols>
  <sheetData>
    <row r="1" spans="1:3" x14ac:dyDescent="0.45">
      <c r="A1" s="16" t="s">
        <v>50</v>
      </c>
      <c r="B1" t="s">
        <v>40</v>
      </c>
      <c r="C1" t="s">
        <v>64</v>
      </c>
    </row>
    <row r="2" spans="1:3" x14ac:dyDescent="0.45">
      <c r="A2" s="17" t="s">
        <v>52</v>
      </c>
      <c r="B2" s="10">
        <v>83232</v>
      </c>
      <c r="C2" s="18">
        <v>0.10581545099844007</v>
      </c>
    </row>
    <row r="3" spans="1:3" x14ac:dyDescent="0.45">
      <c r="A3" s="17" t="s">
        <v>53</v>
      </c>
      <c r="B3" s="10">
        <v>59999</v>
      </c>
      <c r="C3" s="18">
        <v>7.62786097228879E-2</v>
      </c>
    </row>
    <row r="4" spans="1:3" x14ac:dyDescent="0.45">
      <c r="A4" s="17" t="s">
        <v>54</v>
      </c>
      <c r="B4" s="10">
        <v>64905</v>
      </c>
      <c r="C4" s="18">
        <v>8.2515761330422835E-2</v>
      </c>
    </row>
    <row r="5" spans="1:3" x14ac:dyDescent="0.45">
      <c r="A5" s="17" t="s">
        <v>55</v>
      </c>
      <c r="B5" s="10">
        <v>70871</v>
      </c>
      <c r="C5" s="18">
        <v>9.0100524169915971E-2</v>
      </c>
    </row>
    <row r="6" spans="1:3" x14ac:dyDescent="0.45">
      <c r="A6" s="17" t="s">
        <v>56</v>
      </c>
      <c r="B6" s="10">
        <v>53344</v>
      </c>
      <c r="C6" s="18">
        <v>6.7817899582621924E-2</v>
      </c>
    </row>
    <row r="7" spans="1:3" x14ac:dyDescent="0.45">
      <c r="A7" s="17" t="s">
        <v>57</v>
      </c>
      <c r="B7" s="10">
        <v>55370</v>
      </c>
      <c r="C7" s="18">
        <v>7.0393616899553382E-2</v>
      </c>
    </row>
    <row r="8" spans="1:3" x14ac:dyDescent="0.45">
      <c r="A8" s="17" t="s">
        <v>58</v>
      </c>
      <c r="B8" s="10">
        <v>69092</v>
      </c>
      <c r="C8" s="18">
        <v>8.7838825696657796E-2</v>
      </c>
    </row>
    <row r="9" spans="1:3" x14ac:dyDescent="0.45">
      <c r="A9" s="17" t="s">
        <v>59</v>
      </c>
      <c r="B9" s="10">
        <v>66435</v>
      </c>
      <c r="C9" s="18">
        <v>8.4460898297305922E-2</v>
      </c>
    </row>
    <row r="10" spans="1:3" x14ac:dyDescent="0.45">
      <c r="A10" s="17" t="s">
        <v>60</v>
      </c>
      <c r="B10" s="10">
        <v>64847</v>
      </c>
      <c r="C10" s="18">
        <v>8.2442024112070397E-2</v>
      </c>
    </row>
    <row r="11" spans="1:3" x14ac:dyDescent="0.45">
      <c r="A11" s="17" t="s">
        <v>61</v>
      </c>
      <c r="B11" s="10">
        <v>69067</v>
      </c>
      <c r="C11" s="18">
        <v>8.78070424128852E-2</v>
      </c>
    </row>
    <row r="12" spans="1:3" x14ac:dyDescent="0.45">
      <c r="A12" s="17" t="s">
        <v>62</v>
      </c>
      <c r="B12" s="10">
        <v>59962</v>
      </c>
      <c r="C12" s="18">
        <v>7.6231570462904463E-2</v>
      </c>
    </row>
    <row r="13" spans="1:3" x14ac:dyDescent="0.45">
      <c r="A13" s="17" t="s">
        <v>63</v>
      </c>
      <c r="B13" s="10">
        <v>69453</v>
      </c>
      <c r="C13" s="18">
        <v>8.8297776314334137E-2</v>
      </c>
    </row>
    <row r="14" spans="1:3" x14ac:dyDescent="0.45">
      <c r="A14" s="17" t="s">
        <v>51</v>
      </c>
      <c r="B14" s="10">
        <v>786577</v>
      </c>
      <c r="C14" s="18">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42AB-C592-407E-B494-895FE1FC1CDF}">
  <dimension ref="A3:D8"/>
  <sheetViews>
    <sheetView zoomScale="58" zoomScaleNormal="100" workbookViewId="0">
      <selection activeCell="K14" sqref="K14"/>
    </sheetView>
  </sheetViews>
  <sheetFormatPr defaultRowHeight="20.399999999999999" x14ac:dyDescent="0.45"/>
  <cols>
    <col min="1" max="1" width="11.61328125" bestFit="1" customWidth="1"/>
    <col min="2" max="2" width="12" bestFit="1" customWidth="1"/>
    <col min="3" max="3" width="14.765625" bestFit="1" customWidth="1"/>
    <col min="4" max="4" width="12.69140625" bestFit="1" customWidth="1"/>
  </cols>
  <sheetData>
    <row r="3" spans="1:4" x14ac:dyDescent="0.45">
      <c r="A3" t="s">
        <v>40</v>
      </c>
      <c r="B3" t="s">
        <v>41</v>
      </c>
      <c r="C3" t="s">
        <v>42</v>
      </c>
      <c r="D3" t="s">
        <v>65</v>
      </c>
    </row>
    <row r="4" spans="1:4" x14ac:dyDescent="0.45">
      <c r="A4" s="10">
        <v>786577</v>
      </c>
      <c r="B4" s="10">
        <v>39714.680000000008</v>
      </c>
      <c r="C4" s="10">
        <v>10778</v>
      </c>
      <c r="D4" s="10">
        <v>855665</v>
      </c>
    </row>
    <row r="8" spans="1:4" x14ac:dyDescent="0.45">
      <c r="A8" s="10">
        <f>A4</f>
        <v>786577</v>
      </c>
      <c r="B8" s="10">
        <f t="shared" ref="B8:D8" si="0">B4</f>
        <v>39714.680000000008</v>
      </c>
      <c r="C8" s="10">
        <f t="shared" si="0"/>
        <v>10778</v>
      </c>
      <c r="D8" s="10">
        <f t="shared" si="0"/>
        <v>855665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708A-205A-4BDB-A5D9-655B885750E2}">
  <dimension ref="A1"/>
  <sheetViews>
    <sheetView tabSelected="1" topLeftCell="A2" zoomScale="58" workbookViewId="0">
      <selection activeCell="K15" sqref="K15"/>
    </sheetView>
  </sheetViews>
  <sheetFormatPr defaultRowHeight="20.399999999999999"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D0CA-8A56-4FA2-896D-DF8C78ABC62B}">
  <dimension ref="A1:L350"/>
  <sheetViews>
    <sheetView topLeftCell="A2" zoomScale="72" workbookViewId="0">
      <selection activeCell="D20" sqref="D20"/>
    </sheetView>
  </sheetViews>
  <sheetFormatPr defaultRowHeight="20.399999999999999" x14ac:dyDescent="0.45"/>
  <cols>
    <col min="1" max="1" width="12.4609375" style="1" customWidth="1"/>
    <col min="2" max="2" width="6.765625" customWidth="1"/>
    <col min="3" max="3" width="7.765625" bestFit="1" customWidth="1"/>
    <col min="4" max="4" width="10.23046875" customWidth="1"/>
    <col min="5" max="5" width="8.53515625" customWidth="1"/>
    <col min="6" max="6" width="14.3828125" customWidth="1"/>
    <col min="7" max="7" width="10.23046875" customWidth="1"/>
    <col min="8" max="9" width="16.921875" customWidth="1"/>
  </cols>
  <sheetData>
    <row r="1" spans="1:12" x14ac:dyDescent="0.45">
      <c r="A1" s="12" t="s">
        <v>0</v>
      </c>
      <c r="B1" s="2" t="s">
        <v>1</v>
      </c>
      <c r="C1" s="2" t="s">
        <v>2</v>
      </c>
      <c r="D1" s="2" t="s">
        <v>3</v>
      </c>
      <c r="E1" s="2" t="s">
        <v>4</v>
      </c>
      <c r="F1" s="2" t="s">
        <v>5</v>
      </c>
      <c r="G1" s="2" t="s">
        <v>6</v>
      </c>
      <c r="H1" s="2" t="s">
        <v>7</v>
      </c>
      <c r="I1" s="2" t="s">
        <v>8</v>
      </c>
      <c r="J1" s="3" t="s">
        <v>9</v>
      </c>
      <c r="K1" s="11" t="s">
        <v>48</v>
      </c>
      <c r="L1" s="11" t="s">
        <v>49</v>
      </c>
    </row>
    <row r="2" spans="1:12" x14ac:dyDescent="0.45">
      <c r="A2" s="13">
        <v>45666</v>
      </c>
      <c r="B2" s="4">
        <v>2200</v>
      </c>
      <c r="C2" s="4">
        <v>245.10000000000002</v>
      </c>
      <c r="D2" s="4">
        <v>10</v>
      </c>
      <c r="E2" s="4" t="s">
        <v>10</v>
      </c>
      <c r="F2" s="4" t="s">
        <v>11</v>
      </c>
      <c r="G2" s="4" t="s">
        <v>12</v>
      </c>
      <c r="H2" s="4" t="s">
        <v>13</v>
      </c>
      <c r="I2" s="4" t="s">
        <v>14</v>
      </c>
      <c r="J2" s="5">
        <v>2719</v>
      </c>
      <c r="K2" t="str">
        <f>TEXT(A2,"mmm")</f>
        <v>Jan</v>
      </c>
      <c r="L2">
        <f>YEAR(A2)</f>
        <v>2025</v>
      </c>
    </row>
    <row r="3" spans="1:12" x14ac:dyDescent="0.45">
      <c r="A3" s="14">
        <v>45488</v>
      </c>
      <c r="B3" s="6">
        <v>2075</v>
      </c>
      <c r="C3" s="6">
        <v>175.9</v>
      </c>
      <c r="D3" s="6">
        <v>10</v>
      </c>
      <c r="E3" s="6" t="s">
        <v>10</v>
      </c>
      <c r="F3" s="6" t="s">
        <v>15</v>
      </c>
      <c r="G3" s="6" t="s">
        <v>16</v>
      </c>
      <c r="H3" s="6" t="s">
        <v>17</v>
      </c>
      <c r="I3" s="6" t="s">
        <v>18</v>
      </c>
      <c r="J3" s="7">
        <v>2080</v>
      </c>
      <c r="K3" t="str">
        <f t="shared" ref="K3:K66" si="0">TEXT(A3,"mmm")</f>
        <v>Jul</v>
      </c>
      <c r="L3">
        <f t="shared" ref="L3:L66" si="1">YEAR(A3)</f>
        <v>2024</v>
      </c>
    </row>
    <row r="4" spans="1:12" x14ac:dyDescent="0.45">
      <c r="A4" s="13">
        <v>45772</v>
      </c>
      <c r="B4" s="4">
        <v>2788</v>
      </c>
      <c r="C4" s="4">
        <v>179.60000000000002</v>
      </c>
      <c r="D4" s="4">
        <v>10</v>
      </c>
      <c r="E4" s="4" t="s">
        <v>19</v>
      </c>
      <c r="F4" s="4" t="s">
        <v>11</v>
      </c>
      <c r="G4" s="4" t="s">
        <v>16</v>
      </c>
      <c r="H4" s="4" t="s">
        <v>20</v>
      </c>
      <c r="I4" s="4" t="s">
        <v>21</v>
      </c>
      <c r="J4" s="5">
        <v>4094</v>
      </c>
      <c r="K4" t="str">
        <f t="shared" si="0"/>
        <v>Apr</v>
      </c>
      <c r="L4">
        <f t="shared" si="1"/>
        <v>2025</v>
      </c>
    </row>
    <row r="5" spans="1:12" x14ac:dyDescent="0.45">
      <c r="A5" s="14">
        <v>45705</v>
      </c>
      <c r="B5" s="6">
        <v>3290</v>
      </c>
      <c r="C5" s="6">
        <v>15.96</v>
      </c>
      <c r="D5" s="6">
        <v>10</v>
      </c>
      <c r="E5" s="6" t="s">
        <v>19</v>
      </c>
      <c r="F5" s="6" t="s">
        <v>11</v>
      </c>
      <c r="G5" s="6" t="s">
        <v>22</v>
      </c>
      <c r="H5" s="6" t="s">
        <v>23</v>
      </c>
      <c r="I5" s="6" t="s">
        <v>24</v>
      </c>
      <c r="J5" s="7">
        <v>1500</v>
      </c>
      <c r="K5" t="str">
        <f t="shared" si="0"/>
        <v>Feb</v>
      </c>
      <c r="L5">
        <f t="shared" si="1"/>
        <v>2025</v>
      </c>
    </row>
    <row r="6" spans="1:12" x14ac:dyDescent="0.45">
      <c r="A6" s="13">
        <v>45628</v>
      </c>
      <c r="B6" s="4">
        <v>2172</v>
      </c>
      <c r="C6" s="4">
        <v>48.2</v>
      </c>
      <c r="D6" s="4">
        <v>10</v>
      </c>
      <c r="E6" s="4" t="s">
        <v>19</v>
      </c>
      <c r="F6" s="4" t="s">
        <v>15</v>
      </c>
      <c r="G6" s="4" t="s">
        <v>16</v>
      </c>
      <c r="H6" s="4" t="s">
        <v>25</v>
      </c>
      <c r="I6" s="4" t="s">
        <v>26</v>
      </c>
      <c r="J6" s="5">
        <v>1293</v>
      </c>
      <c r="K6" t="str">
        <f t="shared" si="0"/>
        <v>Dec</v>
      </c>
      <c r="L6">
        <f t="shared" si="1"/>
        <v>2024</v>
      </c>
    </row>
    <row r="7" spans="1:12" x14ac:dyDescent="0.45">
      <c r="A7" s="14">
        <v>45661</v>
      </c>
      <c r="B7" s="6">
        <v>591</v>
      </c>
      <c r="C7" s="6">
        <v>15.08</v>
      </c>
      <c r="D7" s="6">
        <v>10</v>
      </c>
      <c r="E7" s="6" t="s">
        <v>27</v>
      </c>
      <c r="F7" s="6" t="s">
        <v>15</v>
      </c>
      <c r="G7" s="6" t="s">
        <v>12</v>
      </c>
      <c r="H7" s="6" t="s">
        <v>28</v>
      </c>
      <c r="I7" s="6" t="s">
        <v>21</v>
      </c>
      <c r="J7" s="7">
        <v>3592</v>
      </c>
      <c r="K7" t="str">
        <f t="shared" si="0"/>
        <v>Jan</v>
      </c>
      <c r="L7">
        <f t="shared" si="1"/>
        <v>2025</v>
      </c>
    </row>
    <row r="8" spans="1:12" x14ac:dyDescent="0.45">
      <c r="A8" s="13">
        <v>45775</v>
      </c>
      <c r="B8" s="4">
        <v>3892</v>
      </c>
      <c r="C8" s="4">
        <v>42.74</v>
      </c>
      <c r="D8" s="4">
        <v>11</v>
      </c>
      <c r="E8" s="4" t="s">
        <v>29</v>
      </c>
      <c r="F8" s="4" t="s">
        <v>1</v>
      </c>
      <c r="G8" s="4" t="s">
        <v>30</v>
      </c>
      <c r="H8" s="4" t="s">
        <v>31</v>
      </c>
      <c r="I8" s="4" t="s">
        <v>14</v>
      </c>
      <c r="J8" s="5">
        <v>1298</v>
      </c>
      <c r="K8" t="str">
        <f t="shared" si="0"/>
        <v>Apr</v>
      </c>
      <c r="L8">
        <f t="shared" si="1"/>
        <v>2025</v>
      </c>
    </row>
    <row r="9" spans="1:12" x14ac:dyDescent="0.45">
      <c r="A9" s="14">
        <v>45643</v>
      </c>
      <c r="B9" s="6">
        <v>1363</v>
      </c>
      <c r="C9" s="6">
        <v>131.15</v>
      </c>
      <c r="D9" s="6">
        <v>11</v>
      </c>
      <c r="E9" s="6" t="s">
        <v>10</v>
      </c>
      <c r="F9" s="6" t="s">
        <v>15</v>
      </c>
      <c r="G9" s="6" t="s">
        <v>12</v>
      </c>
      <c r="H9" s="6" t="s">
        <v>20</v>
      </c>
      <c r="I9" s="6" t="s">
        <v>14</v>
      </c>
      <c r="J9" s="7">
        <v>500</v>
      </c>
      <c r="K9" t="str">
        <f t="shared" si="0"/>
        <v>Dec</v>
      </c>
      <c r="L9">
        <f t="shared" si="1"/>
        <v>2024</v>
      </c>
    </row>
    <row r="10" spans="1:12" x14ac:dyDescent="0.45">
      <c r="A10" s="13">
        <v>45636</v>
      </c>
      <c r="B10" s="4">
        <v>611</v>
      </c>
      <c r="C10" s="4">
        <v>47.300000000000004</v>
      </c>
      <c r="D10" s="4">
        <v>11</v>
      </c>
      <c r="E10" s="4" t="s">
        <v>10</v>
      </c>
      <c r="F10" s="4" t="s">
        <v>11</v>
      </c>
      <c r="G10" s="4" t="s">
        <v>30</v>
      </c>
      <c r="H10" s="4" t="s">
        <v>32</v>
      </c>
      <c r="I10" s="4" t="s">
        <v>21</v>
      </c>
      <c r="J10" s="5">
        <v>740</v>
      </c>
      <c r="K10" t="str">
        <f t="shared" si="0"/>
        <v>Dec</v>
      </c>
      <c r="L10">
        <f t="shared" si="1"/>
        <v>2024</v>
      </c>
    </row>
    <row r="11" spans="1:12" x14ac:dyDescent="0.45">
      <c r="A11" s="14">
        <v>45482</v>
      </c>
      <c r="B11" s="6">
        <v>3584</v>
      </c>
      <c r="C11" s="6">
        <v>33.32</v>
      </c>
      <c r="D11" s="6">
        <v>11</v>
      </c>
      <c r="E11" s="6" t="s">
        <v>10</v>
      </c>
      <c r="F11" s="6" t="s">
        <v>1</v>
      </c>
      <c r="G11" s="6" t="s">
        <v>12</v>
      </c>
      <c r="H11" s="6" t="s">
        <v>33</v>
      </c>
      <c r="I11" s="6" t="s">
        <v>34</v>
      </c>
      <c r="J11" s="7">
        <v>827</v>
      </c>
      <c r="K11" t="str">
        <f t="shared" si="0"/>
        <v>Jul</v>
      </c>
      <c r="L11">
        <f t="shared" si="1"/>
        <v>2024</v>
      </c>
    </row>
    <row r="12" spans="1:12" x14ac:dyDescent="0.45">
      <c r="A12" s="13">
        <v>45507</v>
      </c>
      <c r="B12" s="4">
        <v>1075</v>
      </c>
      <c r="C12" s="4">
        <v>31.48</v>
      </c>
      <c r="D12" s="4">
        <v>12</v>
      </c>
      <c r="E12" s="4" t="s">
        <v>29</v>
      </c>
      <c r="F12" s="4" t="s">
        <v>1</v>
      </c>
      <c r="G12" s="4" t="s">
        <v>16</v>
      </c>
      <c r="H12" s="4" t="s">
        <v>35</v>
      </c>
      <c r="I12" s="4" t="s">
        <v>21</v>
      </c>
      <c r="J12" s="5">
        <v>639</v>
      </c>
      <c r="K12" t="str">
        <f t="shared" si="0"/>
        <v>Aug</v>
      </c>
      <c r="L12">
        <f t="shared" si="1"/>
        <v>2024</v>
      </c>
    </row>
    <row r="13" spans="1:12" x14ac:dyDescent="0.45">
      <c r="A13" s="14">
        <v>45452</v>
      </c>
      <c r="B13" s="6">
        <v>1083</v>
      </c>
      <c r="C13" s="6">
        <v>38.660000000000004</v>
      </c>
      <c r="D13" s="6">
        <v>12</v>
      </c>
      <c r="E13" s="6" t="s">
        <v>29</v>
      </c>
      <c r="F13" s="6" t="s">
        <v>15</v>
      </c>
      <c r="G13" s="6" t="s">
        <v>16</v>
      </c>
      <c r="H13" s="6" t="s">
        <v>28</v>
      </c>
      <c r="I13" s="6" t="s">
        <v>24</v>
      </c>
      <c r="J13" s="7">
        <v>2943</v>
      </c>
      <c r="K13" t="str">
        <f t="shared" si="0"/>
        <v>Jun</v>
      </c>
      <c r="L13">
        <f t="shared" si="1"/>
        <v>2024</v>
      </c>
    </row>
    <row r="14" spans="1:12" x14ac:dyDescent="0.45">
      <c r="A14" s="13">
        <v>45724</v>
      </c>
      <c r="B14" s="4">
        <v>1476</v>
      </c>
      <c r="C14" s="4">
        <v>229.3</v>
      </c>
      <c r="D14" s="4">
        <v>12</v>
      </c>
      <c r="E14" s="4" t="s">
        <v>19</v>
      </c>
      <c r="F14" s="4" t="s">
        <v>1</v>
      </c>
      <c r="G14" s="4" t="s">
        <v>16</v>
      </c>
      <c r="H14" s="4" t="s">
        <v>23</v>
      </c>
      <c r="I14" s="4" t="s">
        <v>21</v>
      </c>
      <c r="J14" s="5">
        <v>2416</v>
      </c>
      <c r="K14" t="str">
        <f t="shared" si="0"/>
        <v>Mar</v>
      </c>
      <c r="L14">
        <f t="shared" si="1"/>
        <v>2025</v>
      </c>
    </row>
    <row r="15" spans="1:12" x14ac:dyDescent="0.45">
      <c r="A15" s="14">
        <v>45578</v>
      </c>
      <c r="B15" s="6">
        <v>2000</v>
      </c>
      <c r="C15" s="6">
        <v>228.05</v>
      </c>
      <c r="D15" s="6">
        <v>12</v>
      </c>
      <c r="E15" s="6" t="s">
        <v>27</v>
      </c>
      <c r="F15" s="6" t="s">
        <v>15</v>
      </c>
      <c r="G15" s="6" t="s">
        <v>30</v>
      </c>
      <c r="H15" s="6" t="s">
        <v>23</v>
      </c>
      <c r="I15" s="6" t="s">
        <v>14</v>
      </c>
      <c r="J15" s="7">
        <v>1838</v>
      </c>
      <c r="K15" t="str">
        <f t="shared" si="0"/>
        <v>Oct</v>
      </c>
      <c r="L15">
        <f t="shared" si="1"/>
        <v>2024</v>
      </c>
    </row>
    <row r="16" spans="1:12" x14ac:dyDescent="0.45">
      <c r="A16" s="13">
        <v>45572</v>
      </c>
      <c r="B16" s="4">
        <v>1008</v>
      </c>
      <c r="C16" s="4">
        <v>139.1</v>
      </c>
      <c r="D16" s="4">
        <v>12</v>
      </c>
      <c r="E16" s="4" t="s">
        <v>27</v>
      </c>
      <c r="F16" s="4" t="s">
        <v>15</v>
      </c>
      <c r="G16" s="4" t="s">
        <v>16</v>
      </c>
      <c r="H16" s="4" t="s">
        <v>32</v>
      </c>
      <c r="I16" s="4" t="s">
        <v>24</v>
      </c>
      <c r="J16" s="5">
        <v>967</v>
      </c>
      <c r="K16" t="str">
        <f t="shared" si="0"/>
        <v>Oct</v>
      </c>
      <c r="L16">
        <f t="shared" si="1"/>
        <v>2024</v>
      </c>
    </row>
    <row r="17" spans="1:12" x14ac:dyDescent="0.45">
      <c r="A17" s="14">
        <v>45478</v>
      </c>
      <c r="B17" s="6">
        <v>2642</v>
      </c>
      <c r="C17" s="6">
        <v>199.70000000000002</v>
      </c>
      <c r="D17" s="6">
        <v>13</v>
      </c>
      <c r="E17" s="6" t="s">
        <v>29</v>
      </c>
      <c r="F17" s="6" t="s">
        <v>11</v>
      </c>
      <c r="G17" s="6" t="s">
        <v>30</v>
      </c>
      <c r="H17" s="6" t="s">
        <v>17</v>
      </c>
      <c r="I17" s="6" t="s">
        <v>18</v>
      </c>
      <c r="J17" s="7">
        <v>600</v>
      </c>
      <c r="K17" t="str">
        <f t="shared" si="0"/>
        <v>Jul</v>
      </c>
      <c r="L17">
        <f t="shared" si="1"/>
        <v>2024</v>
      </c>
    </row>
    <row r="18" spans="1:12" x14ac:dyDescent="0.45">
      <c r="A18" s="13">
        <v>45503</v>
      </c>
      <c r="B18" s="4">
        <v>2500</v>
      </c>
      <c r="C18" s="4">
        <v>11.66</v>
      </c>
      <c r="D18" s="4">
        <v>13</v>
      </c>
      <c r="E18" s="4" t="s">
        <v>10</v>
      </c>
      <c r="F18" s="4" t="s">
        <v>11</v>
      </c>
      <c r="G18" s="4" t="s">
        <v>22</v>
      </c>
      <c r="H18" s="4" t="s">
        <v>32</v>
      </c>
      <c r="I18" s="4" t="s">
        <v>24</v>
      </c>
      <c r="J18" s="5">
        <v>2811</v>
      </c>
      <c r="K18" t="str">
        <f t="shared" si="0"/>
        <v>Jul</v>
      </c>
      <c r="L18">
        <f t="shared" si="1"/>
        <v>2024</v>
      </c>
    </row>
    <row r="19" spans="1:12" x14ac:dyDescent="0.45">
      <c r="A19" s="14">
        <v>45466</v>
      </c>
      <c r="B19" s="6">
        <v>1151</v>
      </c>
      <c r="C19" s="6">
        <v>211.10000000000002</v>
      </c>
      <c r="D19" s="6">
        <v>13</v>
      </c>
      <c r="E19" s="6" t="s">
        <v>10</v>
      </c>
      <c r="F19" s="6" t="s">
        <v>15</v>
      </c>
      <c r="G19" s="6" t="s">
        <v>30</v>
      </c>
      <c r="H19" s="6" t="s">
        <v>36</v>
      </c>
      <c r="I19" s="6" t="s">
        <v>26</v>
      </c>
      <c r="J19" s="7">
        <v>2500</v>
      </c>
      <c r="K19" t="str">
        <f t="shared" si="0"/>
        <v>Jun</v>
      </c>
      <c r="L19">
        <f t="shared" si="1"/>
        <v>2024</v>
      </c>
    </row>
    <row r="20" spans="1:12" x14ac:dyDescent="0.45">
      <c r="A20" s="13">
        <v>45703</v>
      </c>
      <c r="B20" s="4">
        <v>3862</v>
      </c>
      <c r="C20" s="4">
        <v>37.160000000000004</v>
      </c>
      <c r="D20" s="4">
        <v>13</v>
      </c>
      <c r="E20" s="4" t="s">
        <v>19</v>
      </c>
      <c r="F20" s="4" t="s">
        <v>11</v>
      </c>
      <c r="G20" s="4" t="s">
        <v>16</v>
      </c>
      <c r="H20" s="4" t="s">
        <v>17</v>
      </c>
      <c r="I20" s="4" t="s">
        <v>34</v>
      </c>
      <c r="J20" s="5">
        <v>1574</v>
      </c>
      <c r="K20" t="str">
        <f t="shared" si="0"/>
        <v>Feb</v>
      </c>
      <c r="L20">
        <f t="shared" si="1"/>
        <v>2025</v>
      </c>
    </row>
    <row r="21" spans="1:12" x14ac:dyDescent="0.45">
      <c r="A21" s="14">
        <v>45670</v>
      </c>
      <c r="B21" s="6">
        <v>6000</v>
      </c>
      <c r="C21" s="6">
        <v>174.70000000000002</v>
      </c>
      <c r="D21" s="6">
        <v>13</v>
      </c>
      <c r="E21" s="6" t="s">
        <v>19</v>
      </c>
      <c r="F21" s="6" t="s">
        <v>15</v>
      </c>
      <c r="G21" s="6" t="s">
        <v>22</v>
      </c>
      <c r="H21" s="6" t="s">
        <v>36</v>
      </c>
      <c r="I21" s="6" t="s">
        <v>14</v>
      </c>
      <c r="J21" s="7">
        <v>568</v>
      </c>
      <c r="K21" t="str">
        <f t="shared" si="0"/>
        <v>Jan</v>
      </c>
      <c r="L21">
        <f t="shared" si="1"/>
        <v>2025</v>
      </c>
    </row>
    <row r="22" spans="1:12" x14ac:dyDescent="0.45">
      <c r="A22" s="13">
        <v>45491</v>
      </c>
      <c r="B22" s="4">
        <v>3764</v>
      </c>
      <c r="C22" s="4">
        <v>47.480000000000004</v>
      </c>
      <c r="D22" s="4">
        <v>13</v>
      </c>
      <c r="E22" s="4" t="s">
        <v>19</v>
      </c>
      <c r="F22" s="4" t="s">
        <v>11</v>
      </c>
      <c r="G22" s="4" t="s">
        <v>22</v>
      </c>
      <c r="H22" s="4" t="s">
        <v>31</v>
      </c>
      <c r="I22" s="4" t="s">
        <v>24</v>
      </c>
      <c r="J22" s="5">
        <v>3241</v>
      </c>
      <c r="K22" t="str">
        <f t="shared" si="0"/>
        <v>Jul</v>
      </c>
      <c r="L22">
        <f t="shared" si="1"/>
        <v>2024</v>
      </c>
    </row>
    <row r="23" spans="1:12" x14ac:dyDescent="0.45">
      <c r="A23" s="14">
        <v>45555</v>
      </c>
      <c r="B23" s="6">
        <v>1397</v>
      </c>
      <c r="C23" s="6">
        <v>133.65</v>
      </c>
      <c r="D23" s="6">
        <v>13</v>
      </c>
      <c r="E23" s="6" t="s">
        <v>27</v>
      </c>
      <c r="F23" s="6" t="s">
        <v>1</v>
      </c>
      <c r="G23" s="6" t="s">
        <v>16</v>
      </c>
      <c r="H23" s="6" t="s">
        <v>13</v>
      </c>
      <c r="I23" s="6" t="s">
        <v>18</v>
      </c>
      <c r="J23" s="7">
        <v>2802</v>
      </c>
      <c r="K23" t="str">
        <f t="shared" si="0"/>
        <v>Sep</v>
      </c>
      <c r="L23">
        <f t="shared" si="1"/>
        <v>2024</v>
      </c>
    </row>
    <row r="24" spans="1:12" x14ac:dyDescent="0.45">
      <c r="A24" s="13">
        <v>45509</v>
      </c>
      <c r="B24" s="4">
        <v>2113</v>
      </c>
      <c r="C24" s="4">
        <v>34.82</v>
      </c>
      <c r="D24" s="4">
        <v>13</v>
      </c>
      <c r="E24" s="4" t="s">
        <v>27</v>
      </c>
      <c r="F24" s="4" t="s">
        <v>11</v>
      </c>
      <c r="G24" s="4" t="s">
        <v>22</v>
      </c>
      <c r="H24" s="4" t="s">
        <v>35</v>
      </c>
      <c r="I24" s="4" t="s">
        <v>14</v>
      </c>
      <c r="J24" s="5">
        <v>3895</v>
      </c>
      <c r="K24" t="str">
        <f t="shared" si="0"/>
        <v>Aug</v>
      </c>
      <c r="L24">
        <f t="shared" si="1"/>
        <v>2024</v>
      </c>
    </row>
    <row r="25" spans="1:12" x14ac:dyDescent="0.45">
      <c r="A25" s="14">
        <v>45695</v>
      </c>
      <c r="B25" s="6">
        <v>1636</v>
      </c>
      <c r="C25" s="6">
        <v>149.9</v>
      </c>
      <c r="D25" s="6">
        <v>14</v>
      </c>
      <c r="E25" s="6" t="s">
        <v>29</v>
      </c>
      <c r="F25" s="6" t="s">
        <v>1</v>
      </c>
      <c r="G25" s="6" t="s">
        <v>12</v>
      </c>
      <c r="H25" s="6" t="s">
        <v>20</v>
      </c>
      <c r="I25" s="6" t="s">
        <v>18</v>
      </c>
      <c r="J25" s="7">
        <v>3512</v>
      </c>
      <c r="K25" t="str">
        <f t="shared" si="0"/>
        <v>Feb</v>
      </c>
      <c r="L25">
        <f t="shared" si="1"/>
        <v>2025</v>
      </c>
    </row>
    <row r="26" spans="1:12" x14ac:dyDescent="0.45">
      <c r="A26" s="13">
        <v>45788</v>
      </c>
      <c r="B26" s="4">
        <v>3781</v>
      </c>
      <c r="C26" s="4">
        <v>24.52</v>
      </c>
      <c r="D26" s="4">
        <v>14</v>
      </c>
      <c r="E26" s="4" t="s">
        <v>10</v>
      </c>
      <c r="F26" s="4" t="s">
        <v>1</v>
      </c>
      <c r="G26" s="4" t="s">
        <v>16</v>
      </c>
      <c r="H26" s="4" t="s">
        <v>17</v>
      </c>
      <c r="I26" s="4" t="s">
        <v>18</v>
      </c>
      <c r="J26" s="5">
        <v>553</v>
      </c>
      <c r="K26" t="str">
        <f t="shared" si="0"/>
        <v>May</v>
      </c>
      <c r="L26">
        <f t="shared" si="1"/>
        <v>2025</v>
      </c>
    </row>
    <row r="27" spans="1:12" x14ac:dyDescent="0.45">
      <c r="A27" s="14">
        <v>45728</v>
      </c>
      <c r="B27" s="6">
        <v>734</v>
      </c>
      <c r="C27" s="6">
        <v>228.45000000000002</v>
      </c>
      <c r="D27" s="6">
        <v>14</v>
      </c>
      <c r="E27" s="6" t="s">
        <v>10</v>
      </c>
      <c r="F27" s="6" t="s">
        <v>15</v>
      </c>
      <c r="G27" s="6" t="s">
        <v>12</v>
      </c>
      <c r="H27" s="6" t="s">
        <v>17</v>
      </c>
      <c r="I27" s="6" t="s">
        <v>21</v>
      </c>
      <c r="J27" s="7">
        <v>3440</v>
      </c>
      <c r="K27" t="str">
        <f t="shared" si="0"/>
        <v>Mar</v>
      </c>
      <c r="L27">
        <f t="shared" si="1"/>
        <v>2025</v>
      </c>
    </row>
    <row r="28" spans="1:12" x14ac:dyDescent="0.45">
      <c r="A28" s="13">
        <v>45686</v>
      </c>
      <c r="B28" s="4">
        <v>3142</v>
      </c>
      <c r="C28" s="4">
        <v>13.86</v>
      </c>
      <c r="D28" s="4">
        <v>14</v>
      </c>
      <c r="E28" s="4" t="s">
        <v>10</v>
      </c>
      <c r="F28" s="4" t="s">
        <v>15</v>
      </c>
      <c r="G28" s="4" t="s">
        <v>16</v>
      </c>
      <c r="H28" s="4" t="s">
        <v>20</v>
      </c>
      <c r="I28" s="4" t="s">
        <v>34</v>
      </c>
      <c r="J28" s="5">
        <v>4066</v>
      </c>
      <c r="K28" t="str">
        <f t="shared" si="0"/>
        <v>Jan</v>
      </c>
      <c r="L28">
        <f t="shared" si="1"/>
        <v>2025</v>
      </c>
    </row>
    <row r="29" spans="1:12" x14ac:dyDescent="0.45">
      <c r="A29" s="14">
        <v>45492</v>
      </c>
      <c r="B29" s="6">
        <v>1284</v>
      </c>
      <c r="C29" s="6">
        <v>138.45000000000002</v>
      </c>
      <c r="D29" s="6">
        <v>14</v>
      </c>
      <c r="E29" s="6" t="s">
        <v>10</v>
      </c>
      <c r="F29" s="6" t="s">
        <v>15</v>
      </c>
      <c r="G29" s="6" t="s">
        <v>12</v>
      </c>
      <c r="H29" s="6" t="s">
        <v>28</v>
      </c>
      <c r="I29" s="6" t="s">
        <v>24</v>
      </c>
      <c r="J29" s="7">
        <v>1476</v>
      </c>
      <c r="K29" t="str">
        <f t="shared" si="0"/>
        <v>Jul</v>
      </c>
      <c r="L29">
        <f t="shared" si="1"/>
        <v>2024</v>
      </c>
    </row>
    <row r="30" spans="1:12" x14ac:dyDescent="0.45">
      <c r="A30" s="13">
        <v>45679</v>
      </c>
      <c r="B30" s="4">
        <v>3854</v>
      </c>
      <c r="C30" s="4">
        <v>30.7</v>
      </c>
      <c r="D30" s="4">
        <v>14</v>
      </c>
      <c r="E30" s="4" t="s">
        <v>19</v>
      </c>
      <c r="F30" s="4" t="s">
        <v>1</v>
      </c>
      <c r="G30" s="4" t="s">
        <v>30</v>
      </c>
      <c r="H30" s="4" t="s">
        <v>33</v>
      </c>
      <c r="I30" s="4" t="s">
        <v>24</v>
      </c>
      <c r="J30" s="5">
        <v>1543</v>
      </c>
      <c r="K30" t="str">
        <f t="shared" si="0"/>
        <v>Jan</v>
      </c>
      <c r="L30">
        <f t="shared" si="1"/>
        <v>2025</v>
      </c>
    </row>
    <row r="31" spans="1:12" x14ac:dyDescent="0.45">
      <c r="A31" s="14">
        <v>45637</v>
      </c>
      <c r="B31" s="6">
        <v>1549</v>
      </c>
      <c r="C31" s="6">
        <v>149.70000000000002</v>
      </c>
      <c r="D31" s="6">
        <v>14</v>
      </c>
      <c r="E31" s="6" t="s">
        <v>19</v>
      </c>
      <c r="F31" s="6" t="s">
        <v>15</v>
      </c>
      <c r="G31" s="6" t="s">
        <v>22</v>
      </c>
      <c r="H31" s="6" t="s">
        <v>28</v>
      </c>
      <c r="I31" s="6" t="s">
        <v>34</v>
      </c>
      <c r="J31" s="7">
        <v>3693</v>
      </c>
      <c r="K31" t="str">
        <f t="shared" si="0"/>
        <v>Dec</v>
      </c>
      <c r="L31">
        <f t="shared" si="1"/>
        <v>2024</v>
      </c>
    </row>
    <row r="32" spans="1:12" x14ac:dyDescent="0.45">
      <c r="A32" s="13">
        <v>45547</v>
      </c>
      <c r="B32" s="4">
        <v>1973</v>
      </c>
      <c r="C32" s="4">
        <v>205.70000000000002</v>
      </c>
      <c r="D32" s="4">
        <v>14</v>
      </c>
      <c r="E32" s="4" t="s">
        <v>19</v>
      </c>
      <c r="F32" s="4" t="s">
        <v>11</v>
      </c>
      <c r="G32" s="4" t="s">
        <v>30</v>
      </c>
      <c r="H32" s="4" t="s">
        <v>35</v>
      </c>
      <c r="I32" s="4" t="s">
        <v>18</v>
      </c>
      <c r="J32" s="5">
        <v>2819</v>
      </c>
      <c r="K32" t="str">
        <f t="shared" si="0"/>
        <v>Sep</v>
      </c>
      <c r="L32">
        <f t="shared" si="1"/>
        <v>2024</v>
      </c>
    </row>
    <row r="33" spans="1:12" x14ac:dyDescent="0.45">
      <c r="A33" s="14">
        <v>45521</v>
      </c>
      <c r="B33" s="6">
        <v>2205</v>
      </c>
      <c r="C33" s="6">
        <v>12.120000000000001</v>
      </c>
      <c r="D33" s="6">
        <v>14</v>
      </c>
      <c r="E33" s="6" t="s">
        <v>19</v>
      </c>
      <c r="F33" s="6" t="s">
        <v>1</v>
      </c>
      <c r="G33" s="6" t="s">
        <v>16</v>
      </c>
      <c r="H33" s="6" t="s">
        <v>31</v>
      </c>
      <c r="I33" s="6" t="s">
        <v>14</v>
      </c>
      <c r="J33" s="7">
        <v>3994</v>
      </c>
      <c r="K33" t="str">
        <f t="shared" si="0"/>
        <v>Aug</v>
      </c>
      <c r="L33">
        <f t="shared" si="1"/>
        <v>2024</v>
      </c>
    </row>
    <row r="34" spans="1:12" x14ac:dyDescent="0.45">
      <c r="A34" s="13">
        <v>45493</v>
      </c>
      <c r="B34" s="4">
        <v>2792</v>
      </c>
      <c r="C34" s="4">
        <v>39.24</v>
      </c>
      <c r="D34" s="4">
        <v>14</v>
      </c>
      <c r="E34" s="4" t="s">
        <v>19</v>
      </c>
      <c r="F34" s="4" t="s">
        <v>15</v>
      </c>
      <c r="G34" s="4" t="s">
        <v>30</v>
      </c>
      <c r="H34" s="4" t="s">
        <v>37</v>
      </c>
      <c r="I34" s="4" t="s">
        <v>18</v>
      </c>
      <c r="J34" s="5">
        <v>2249</v>
      </c>
      <c r="K34" t="str">
        <f t="shared" si="0"/>
        <v>Jul</v>
      </c>
      <c r="L34">
        <f t="shared" si="1"/>
        <v>2024</v>
      </c>
    </row>
    <row r="35" spans="1:12" x14ac:dyDescent="0.45">
      <c r="A35" s="14">
        <v>45720</v>
      </c>
      <c r="B35" s="6">
        <v>760</v>
      </c>
      <c r="C35" s="6">
        <v>45.72</v>
      </c>
      <c r="D35" s="6">
        <v>14</v>
      </c>
      <c r="E35" s="6" t="s">
        <v>27</v>
      </c>
      <c r="F35" s="6" t="s">
        <v>1</v>
      </c>
      <c r="G35" s="6" t="s">
        <v>22</v>
      </c>
      <c r="H35" s="6" t="s">
        <v>32</v>
      </c>
      <c r="I35" s="6" t="s">
        <v>26</v>
      </c>
      <c r="J35" s="7">
        <v>1201</v>
      </c>
      <c r="K35" t="str">
        <f t="shared" si="0"/>
        <v>Mar</v>
      </c>
      <c r="L35">
        <f t="shared" si="1"/>
        <v>2025</v>
      </c>
    </row>
    <row r="36" spans="1:12" x14ac:dyDescent="0.45">
      <c r="A36" s="13">
        <v>45680</v>
      </c>
      <c r="B36" s="4">
        <v>1722</v>
      </c>
      <c r="C36" s="4">
        <v>153.20000000000002</v>
      </c>
      <c r="D36" s="4">
        <v>14</v>
      </c>
      <c r="E36" s="4" t="s">
        <v>27</v>
      </c>
      <c r="F36" s="4" t="s">
        <v>1</v>
      </c>
      <c r="G36" s="4" t="s">
        <v>30</v>
      </c>
      <c r="H36" s="4" t="s">
        <v>13</v>
      </c>
      <c r="I36" s="4" t="s">
        <v>18</v>
      </c>
      <c r="J36" s="5">
        <v>2614</v>
      </c>
      <c r="K36" t="str">
        <f t="shared" si="0"/>
        <v>Jan</v>
      </c>
      <c r="L36">
        <f t="shared" si="1"/>
        <v>2025</v>
      </c>
    </row>
    <row r="37" spans="1:12" x14ac:dyDescent="0.45">
      <c r="A37" s="14">
        <v>45639</v>
      </c>
      <c r="B37" s="6">
        <v>1678</v>
      </c>
      <c r="C37" s="6">
        <v>167.70000000000002</v>
      </c>
      <c r="D37" s="6">
        <v>14</v>
      </c>
      <c r="E37" s="6" t="s">
        <v>27</v>
      </c>
      <c r="F37" s="6" t="s">
        <v>15</v>
      </c>
      <c r="G37" s="6" t="s">
        <v>22</v>
      </c>
      <c r="H37" s="6" t="s">
        <v>38</v>
      </c>
      <c r="I37" s="6" t="s">
        <v>26</v>
      </c>
      <c r="J37" s="7">
        <v>1905</v>
      </c>
      <c r="K37" t="str">
        <f t="shared" si="0"/>
        <v>Dec</v>
      </c>
      <c r="L37">
        <f t="shared" si="1"/>
        <v>2024</v>
      </c>
    </row>
    <row r="38" spans="1:12" x14ac:dyDescent="0.45">
      <c r="A38" s="13">
        <v>45462</v>
      </c>
      <c r="B38" s="4">
        <v>1474</v>
      </c>
      <c r="C38" s="4">
        <v>14.56</v>
      </c>
      <c r="D38" s="4">
        <v>15</v>
      </c>
      <c r="E38" s="4" t="s">
        <v>29</v>
      </c>
      <c r="F38" s="4" t="s">
        <v>11</v>
      </c>
      <c r="G38" s="4" t="s">
        <v>12</v>
      </c>
      <c r="H38" s="4" t="s">
        <v>20</v>
      </c>
      <c r="I38" s="4" t="s">
        <v>14</v>
      </c>
      <c r="J38" s="5">
        <v>1816</v>
      </c>
      <c r="K38" t="str">
        <f t="shared" si="0"/>
        <v>Jun</v>
      </c>
      <c r="L38">
        <f t="shared" si="1"/>
        <v>2024</v>
      </c>
    </row>
    <row r="39" spans="1:12" x14ac:dyDescent="0.45">
      <c r="A39" s="14">
        <v>45782</v>
      </c>
      <c r="B39" s="6">
        <v>3335</v>
      </c>
      <c r="C39" s="6">
        <v>148.25</v>
      </c>
      <c r="D39" s="6">
        <v>15</v>
      </c>
      <c r="E39" s="6" t="s">
        <v>10</v>
      </c>
      <c r="F39" s="6" t="s">
        <v>15</v>
      </c>
      <c r="G39" s="6" t="s">
        <v>30</v>
      </c>
      <c r="H39" s="6" t="s">
        <v>17</v>
      </c>
      <c r="I39" s="6" t="s">
        <v>14</v>
      </c>
      <c r="J39" s="7">
        <v>2203</v>
      </c>
      <c r="K39" t="str">
        <f t="shared" si="0"/>
        <v>May</v>
      </c>
      <c r="L39">
        <f t="shared" si="1"/>
        <v>2025</v>
      </c>
    </row>
    <row r="40" spans="1:12" x14ac:dyDescent="0.45">
      <c r="A40" s="13">
        <v>45529</v>
      </c>
      <c r="B40" s="4">
        <v>2257</v>
      </c>
      <c r="C40" s="4">
        <v>12.26</v>
      </c>
      <c r="D40" s="4">
        <v>15</v>
      </c>
      <c r="E40" s="4" t="s">
        <v>19</v>
      </c>
      <c r="F40" s="4" t="s">
        <v>1</v>
      </c>
      <c r="G40" s="4" t="s">
        <v>12</v>
      </c>
      <c r="H40" s="4" t="s">
        <v>37</v>
      </c>
      <c r="I40" s="4" t="s">
        <v>34</v>
      </c>
      <c r="J40" s="5">
        <v>2131</v>
      </c>
      <c r="K40" t="str">
        <f t="shared" si="0"/>
        <v>Aug</v>
      </c>
      <c r="L40">
        <f t="shared" si="1"/>
        <v>2024</v>
      </c>
    </row>
    <row r="41" spans="1:12" x14ac:dyDescent="0.45">
      <c r="A41" s="14">
        <v>45741</v>
      </c>
      <c r="B41" s="6">
        <v>2231</v>
      </c>
      <c r="C41" s="6">
        <v>49.32</v>
      </c>
      <c r="D41" s="6">
        <v>16</v>
      </c>
      <c r="E41" s="6" t="s">
        <v>29</v>
      </c>
      <c r="F41" s="6" t="s">
        <v>1</v>
      </c>
      <c r="G41" s="6" t="s">
        <v>12</v>
      </c>
      <c r="H41" s="6" t="s">
        <v>33</v>
      </c>
      <c r="I41" s="6" t="s">
        <v>18</v>
      </c>
      <c r="J41" s="7">
        <v>2364</v>
      </c>
      <c r="K41" t="str">
        <f t="shared" si="0"/>
        <v>Mar</v>
      </c>
      <c r="L41">
        <f t="shared" si="1"/>
        <v>2025</v>
      </c>
    </row>
    <row r="42" spans="1:12" x14ac:dyDescent="0.45">
      <c r="A42" s="13">
        <v>45735</v>
      </c>
      <c r="B42" s="4">
        <v>2631</v>
      </c>
      <c r="C42" s="4">
        <v>220.60000000000002</v>
      </c>
      <c r="D42" s="4">
        <v>16</v>
      </c>
      <c r="E42" s="4" t="s">
        <v>29</v>
      </c>
      <c r="F42" s="4" t="s">
        <v>1</v>
      </c>
      <c r="G42" s="4" t="s">
        <v>30</v>
      </c>
      <c r="H42" s="4" t="s">
        <v>32</v>
      </c>
      <c r="I42" s="4" t="s">
        <v>18</v>
      </c>
      <c r="J42" s="5">
        <v>3343</v>
      </c>
      <c r="K42" t="str">
        <f t="shared" si="0"/>
        <v>Mar</v>
      </c>
      <c r="L42">
        <f t="shared" si="1"/>
        <v>2025</v>
      </c>
    </row>
    <row r="43" spans="1:12" x14ac:dyDescent="0.45">
      <c r="A43" s="14">
        <v>45541</v>
      </c>
      <c r="B43" s="6">
        <v>2912</v>
      </c>
      <c r="C43" s="6">
        <v>39.54</v>
      </c>
      <c r="D43" s="6">
        <v>16</v>
      </c>
      <c r="E43" s="6" t="s">
        <v>29</v>
      </c>
      <c r="F43" s="6" t="s">
        <v>1</v>
      </c>
      <c r="G43" s="6" t="s">
        <v>12</v>
      </c>
      <c r="H43" s="6" t="s">
        <v>13</v>
      </c>
      <c r="I43" s="6" t="s">
        <v>34</v>
      </c>
      <c r="J43" s="7">
        <v>4252</v>
      </c>
      <c r="K43" t="str">
        <f t="shared" si="0"/>
        <v>Sep</v>
      </c>
      <c r="L43">
        <f t="shared" si="1"/>
        <v>2024</v>
      </c>
    </row>
    <row r="44" spans="1:12" x14ac:dyDescent="0.45">
      <c r="A44" s="13">
        <v>45579</v>
      </c>
      <c r="B44" s="4">
        <v>3489</v>
      </c>
      <c r="C44" s="4">
        <v>163.5</v>
      </c>
      <c r="D44" s="4">
        <v>16</v>
      </c>
      <c r="E44" s="4" t="s">
        <v>10</v>
      </c>
      <c r="F44" s="4" t="s">
        <v>1</v>
      </c>
      <c r="G44" s="4" t="s">
        <v>16</v>
      </c>
      <c r="H44" s="4" t="s">
        <v>20</v>
      </c>
      <c r="I44" s="4" t="s">
        <v>14</v>
      </c>
      <c r="J44" s="5">
        <v>891</v>
      </c>
      <c r="K44" t="str">
        <f t="shared" si="0"/>
        <v>Oct</v>
      </c>
      <c r="L44">
        <f t="shared" si="1"/>
        <v>2024</v>
      </c>
    </row>
    <row r="45" spans="1:12" x14ac:dyDescent="0.45">
      <c r="A45" s="14">
        <v>45484</v>
      </c>
      <c r="B45" s="6">
        <v>717</v>
      </c>
      <c r="C45" s="6">
        <v>40.619999999999997</v>
      </c>
      <c r="D45" s="6">
        <v>16</v>
      </c>
      <c r="E45" s="6" t="s">
        <v>10</v>
      </c>
      <c r="F45" s="6" t="s">
        <v>11</v>
      </c>
      <c r="G45" s="6" t="s">
        <v>30</v>
      </c>
      <c r="H45" s="6" t="s">
        <v>32</v>
      </c>
      <c r="I45" s="6" t="s">
        <v>14</v>
      </c>
      <c r="J45" s="7">
        <v>2892</v>
      </c>
      <c r="K45" t="str">
        <f t="shared" si="0"/>
        <v>Jul</v>
      </c>
      <c r="L45">
        <f t="shared" si="1"/>
        <v>2024</v>
      </c>
    </row>
    <row r="46" spans="1:12" x14ac:dyDescent="0.45">
      <c r="A46" s="13">
        <v>45634</v>
      </c>
      <c r="B46" s="4">
        <v>1379</v>
      </c>
      <c r="C46" s="4">
        <v>213.35000000000002</v>
      </c>
      <c r="D46" s="4">
        <v>16</v>
      </c>
      <c r="E46" s="4" t="s">
        <v>19</v>
      </c>
      <c r="F46" s="4" t="s">
        <v>11</v>
      </c>
      <c r="G46" s="4" t="s">
        <v>12</v>
      </c>
      <c r="H46" s="4" t="s">
        <v>25</v>
      </c>
      <c r="I46" s="4" t="s">
        <v>18</v>
      </c>
      <c r="J46" s="5">
        <v>2109</v>
      </c>
      <c r="K46" t="str">
        <f t="shared" si="0"/>
        <v>Dec</v>
      </c>
      <c r="L46">
        <f t="shared" si="1"/>
        <v>2024</v>
      </c>
    </row>
    <row r="47" spans="1:12" x14ac:dyDescent="0.45">
      <c r="A47" s="14">
        <v>45626</v>
      </c>
      <c r="B47" s="6">
        <v>1339</v>
      </c>
      <c r="C47" s="6">
        <v>137.35</v>
      </c>
      <c r="D47" s="6">
        <v>16</v>
      </c>
      <c r="E47" s="6" t="s">
        <v>19</v>
      </c>
      <c r="F47" s="6" t="s">
        <v>11</v>
      </c>
      <c r="G47" s="6" t="s">
        <v>12</v>
      </c>
      <c r="H47" s="6" t="s">
        <v>13</v>
      </c>
      <c r="I47" s="6" t="s">
        <v>26</v>
      </c>
      <c r="J47" s="7">
        <v>4235</v>
      </c>
      <c r="K47" t="str">
        <f t="shared" si="0"/>
        <v>Nov</v>
      </c>
      <c r="L47">
        <f t="shared" si="1"/>
        <v>2024</v>
      </c>
    </row>
    <row r="48" spans="1:12" x14ac:dyDescent="0.45">
      <c r="A48" s="13">
        <v>45621</v>
      </c>
      <c r="B48" s="4">
        <v>1423</v>
      </c>
      <c r="C48" s="4">
        <v>129.05000000000001</v>
      </c>
      <c r="D48" s="4">
        <v>16</v>
      </c>
      <c r="E48" s="4" t="s">
        <v>19</v>
      </c>
      <c r="F48" s="4" t="s">
        <v>11</v>
      </c>
      <c r="G48" s="4" t="s">
        <v>30</v>
      </c>
      <c r="H48" s="4" t="s">
        <v>36</v>
      </c>
      <c r="I48" s="4" t="s">
        <v>26</v>
      </c>
      <c r="J48" s="5">
        <v>2468</v>
      </c>
      <c r="K48" t="str">
        <f t="shared" si="0"/>
        <v>Nov</v>
      </c>
      <c r="L48">
        <f t="shared" si="1"/>
        <v>2024</v>
      </c>
    </row>
    <row r="49" spans="1:12" x14ac:dyDescent="0.45">
      <c r="A49" s="14">
        <v>45592</v>
      </c>
      <c r="B49" s="6">
        <v>2844</v>
      </c>
      <c r="C49" s="6">
        <v>147.30000000000001</v>
      </c>
      <c r="D49" s="6">
        <v>16</v>
      </c>
      <c r="E49" s="6" t="s">
        <v>19</v>
      </c>
      <c r="F49" s="6" t="s">
        <v>11</v>
      </c>
      <c r="G49" s="6" t="s">
        <v>16</v>
      </c>
      <c r="H49" s="6" t="s">
        <v>32</v>
      </c>
      <c r="I49" s="6" t="s">
        <v>14</v>
      </c>
      <c r="J49" s="7">
        <v>1707</v>
      </c>
      <c r="K49" t="str">
        <f t="shared" si="0"/>
        <v>Oct</v>
      </c>
      <c r="L49">
        <f t="shared" si="1"/>
        <v>2024</v>
      </c>
    </row>
    <row r="50" spans="1:12" x14ac:dyDescent="0.45">
      <c r="A50" s="13">
        <v>45747</v>
      </c>
      <c r="B50" s="4">
        <v>2417</v>
      </c>
      <c r="C50" s="4">
        <v>225.9</v>
      </c>
      <c r="D50" s="4">
        <v>16</v>
      </c>
      <c r="E50" s="4" t="s">
        <v>27</v>
      </c>
      <c r="F50" s="4" t="s">
        <v>1</v>
      </c>
      <c r="G50" s="4" t="s">
        <v>22</v>
      </c>
      <c r="H50" s="4" t="s">
        <v>33</v>
      </c>
      <c r="I50" s="4" t="s">
        <v>24</v>
      </c>
      <c r="J50" s="5">
        <v>3261</v>
      </c>
      <c r="K50" t="str">
        <f t="shared" si="0"/>
        <v>Mar</v>
      </c>
      <c r="L50">
        <f t="shared" si="1"/>
        <v>2025</v>
      </c>
    </row>
    <row r="51" spans="1:12" x14ac:dyDescent="0.45">
      <c r="A51" s="14">
        <v>45711</v>
      </c>
      <c r="B51" s="6">
        <v>796</v>
      </c>
      <c r="C51" s="6">
        <v>177.3</v>
      </c>
      <c r="D51" s="6">
        <v>16</v>
      </c>
      <c r="E51" s="6" t="s">
        <v>27</v>
      </c>
      <c r="F51" s="6" t="s">
        <v>1</v>
      </c>
      <c r="G51" s="6" t="s">
        <v>12</v>
      </c>
      <c r="H51" s="6" t="s">
        <v>17</v>
      </c>
      <c r="I51" s="6" t="s">
        <v>18</v>
      </c>
      <c r="J51" s="7">
        <v>2480</v>
      </c>
      <c r="K51" t="str">
        <f t="shared" si="0"/>
        <v>Feb</v>
      </c>
      <c r="L51">
        <f t="shared" si="1"/>
        <v>2025</v>
      </c>
    </row>
    <row r="52" spans="1:12" x14ac:dyDescent="0.45">
      <c r="A52" s="13">
        <v>45689</v>
      </c>
      <c r="B52" s="4">
        <v>676</v>
      </c>
      <c r="C52" s="4">
        <v>128.35</v>
      </c>
      <c r="D52" s="4">
        <v>16</v>
      </c>
      <c r="E52" s="4" t="s">
        <v>27</v>
      </c>
      <c r="F52" s="4" t="s">
        <v>11</v>
      </c>
      <c r="G52" s="4" t="s">
        <v>22</v>
      </c>
      <c r="H52" s="4" t="s">
        <v>38</v>
      </c>
      <c r="I52" s="4" t="s">
        <v>14</v>
      </c>
      <c r="J52" s="5">
        <v>4127</v>
      </c>
      <c r="K52" t="str">
        <f t="shared" si="0"/>
        <v>Feb</v>
      </c>
      <c r="L52">
        <f t="shared" si="1"/>
        <v>2025</v>
      </c>
    </row>
    <row r="53" spans="1:12" x14ac:dyDescent="0.45">
      <c r="A53" s="14">
        <v>45684</v>
      </c>
      <c r="B53" s="6">
        <v>1856</v>
      </c>
      <c r="C53" s="6">
        <v>37.480000000000004</v>
      </c>
      <c r="D53" s="6">
        <v>16</v>
      </c>
      <c r="E53" s="6" t="s">
        <v>27</v>
      </c>
      <c r="F53" s="6" t="s">
        <v>15</v>
      </c>
      <c r="G53" s="6" t="s">
        <v>16</v>
      </c>
      <c r="H53" s="6" t="s">
        <v>35</v>
      </c>
      <c r="I53" s="6" t="s">
        <v>26</v>
      </c>
      <c r="J53" s="7">
        <v>2816</v>
      </c>
      <c r="K53" t="str">
        <f t="shared" si="0"/>
        <v>Jan</v>
      </c>
      <c r="L53">
        <f t="shared" si="1"/>
        <v>2025</v>
      </c>
    </row>
    <row r="54" spans="1:12" x14ac:dyDescent="0.45">
      <c r="A54" s="13">
        <v>45682</v>
      </c>
      <c r="B54" s="4">
        <v>2367</v>
      </c>
      <c r="C54" s="4">
        <v>208.5</v>
      </c>
      <c r="D54" s="4">
        <v>17</v>
      </c>
      <c r="E54" s="4" t="s">
        <v>29</v>
      </c>
      <c r="F54" s="4" t="s">
        <v>11</v>
      </c>
      <c r="G54" s="4" t="s">
        <v>22</v>
      </c>
      <c r="H54" s="4" t="s">
        <v>31</v>
      </c>
      <c r="I54" s="4" t="s">
        <v>24</v>
      </c>
      <c r="J54" s="5">
        <v>1662</v>
      </c>
      <c r="K54" t="str">
        <f t="shared" si="0"/>
        <v>Jan</v>
      </c>
      <c r="L54">
        <f t="shared" si="1"/>
        <v>2025</v>
      </c>
    </row>
    <row r="55" spans="1:12" x14ac:dyDescent="0.45">
      <c r="A55" s="14">
        <v>45653</v>
      </c>
      <c r="B55" s="6">
        <v>3103</v>
      </c>
      <c r="C55" s="6">
        <v>14.38</v>
      </c>
      <c r="D55" s="6">
        <v>17</v>
      </c>
      <c r="E55" s="6" t="s">
        <v>29</v>
      </c>
      <c r="F55" s="6" t="s">
        <v>1</v>
      </c>
      <c r="G55" s="6" t="s">
        <v>30</v>
      </c>
      <c r="H55" s="6" t="s">
        <v>28</v>
      </c>
      <c r="I55" s="6" t="s">
        <v>24</v>
      </c>
      <c r="J55" s="7">
        <v>3251</v>
      </c>
      <c r="K55" t="str">
        <f t="shared" si="0"/>
        <v>Dec</v>
      </c>
      <c r="L55">
        <f t="shared" si="1"/>
        <v>2024</v>
      </c>
    </row>
    <row r="56" spans="1:12" x14ac:dyDescent="0.45">
      <c r="A56" s="13">
        <v>45513</v>
      </c>
      <c r="B56" s="4">
        <v>2623</v>
      </c>
      <c r="C56" s="4">
        <v>164.45000000000002</v>
      </c>
      <c r="D56" s="4">
        <v>17</v>
      </c>
      <c r="E56" s="4" t="s">
        <v>29</v>
      </c>
      <c r="F56" s="4" t="s">
        <v>15</v>
      </c>
      <c r="G56" s="4" t="s">
        <v>22</v>
      </c>
      <c r="H56" s="4" t="s">
        <v>33</v>
      </c>
      <c r="I56" s="4" t="s">
        <v>34</v>
      </c>
      <c r="J56" s="5">
        <v>1081</v>
      </c>
      <c r="K56" t="str">
        <f t="shared" si="0"/>
        <v>Aug</v>
      </c>
      <c r="L56">
        <f t="shared" si="1"/>
        <v>2024</v>
      </c>
    </row>
    <row r="57" spans="1:12" x14ac:dyDescent="0.45">
      <c r="A57" s="14">
        <v>45674</v>
      </c>
      <c r="B57" s="6">
        <v>3101</v>
      </c>
      <c r="C57" s="6">
        <v>213.8</v>
      </c>
      <c r="D57" s="6">
        <v>17</v>
      </c>
      <c r="E57" s="6" t="s">
        <v>10</v>
      </c>
      <c r="F57" s="6" t="s">
        <v>15</v>
      </c>
      <c r="G57" s="6" t="s">
        <v>16</v>
      </c>
      <c r="H57" s="6" t="s">
        <v>37</v>
      </c>
      <c r="I57" s="6" t="s">
        <v>24</v>
      </c>
      <c r="J57" s="7">
        <v>2663</v>
      </c>
      <c r="K57" t="str">
        <f t="shared" si="0"/>
        <v>Jan</v>
      </c>
      <c r="L57">
        <f t="shared" si="1"/>
        <v>2025</v>
      </c>
    </row>
    <row r="58" spans="1:12" x14ac:dyDescent="0.45">
      <c r="A58" s="13">
        <v>45531</v>
      </c>
      <c r="B58" s="4">
        <v>2441</v>
      </c>
      <c r="C58" s="4">
        <v>160.65</v>
      </c>
      <c r="D58" s="4">
        <v>17</v>
      </c>
      <c r="E58" s="4" t="s">
        <v>10</v>
      </c>
      <c r="F58" s="4" t="s">
        <v>11</v>
      </c>
      <c r="G58" s="4" t="s">
        <v>16</v>
      </c>
      <c r="H58" s="4" t="s">
        <v>23</v>
      </c>
      <c r="I58" s="4" t="s">
        <v>34</v>
      </c>
      <c r="J58" s="5">
        <v>1823</v>
      </c>
      <c r="K58" t="str">
        <f t="shared" si="0"/>
        <v>Aug</v>
      </c>
      <c r="L58">
        <f t="shared" si="1"/>
        <v>2024</v>
      </c>
    </row>
    <row r="59" spans="1:12" x14ac:dyDescent="0.45">
      <c r="A59" s="14">
        <v>45759</v>
      </c>
      <c r="B59" s="6">
        <v>2210</v>
      </c>
      <c r="C59" s="6">
        <v>48.14</v>
      </c>
      <c r="D59" s="6">
        <v>17</v>
      </c>
      <c r="E59" s="6" t="s">
        <v>27</v>
      </c>
      <c r="F59" s="6" t="s">
        <v>15</v>
      </c>
      <c r="G59" s="6" t="s">
        <v>12</v>
      </c>
      <c r="H59" s="6" t="s">
        <v>13</v>
      </c>
      <c r="I59" s="6" t="s">
        <v>14</v>
      </c>
      <c r="J59" s="7">
        <v>2610</v>
      </c>
      <c r="K59" t="str">
        <f t="shared" si="0"/>
        <v>Apr</v>
      </c>
      <c r="L59">
        <f t="shared" si="1"/>
        <v>2025</v>
      </c>
    </row>
    <row r="60" spans="1:12" x14ac:dyDescent="0.45">
      <c r="A60" s="13">
        <v>45644</v>
      </c>
      <c r="B60" s="4">
        <v>2134</v>
      </c>
      <c r="C60" s="4">
        <v>30.560000000000002</v>
      </c>
      <c r="D60" s="4">
        <v>17</v>
      </c>
      <c r="E60" s="4" t="s">
        <v>27</v>
      </c>
      <c r="F60" s="4" t="s">
        <v>15</v>
      </c>
      <c r="G60" s="4" t="s">
        <v>16</v>
      </c>
      <c r="H60" s="4" t="s">
        <v>17</v>
      </c>
      <c r="I60" s="4" t="s">
        <v>26</v>
      </c>
      <c r="J60" s="5">
        <v>832</v>
      </c>
      <c r="K60" t="str">
        <f t="shared" si="0"/>
        <v>Dec</v>
      </c>
      <c r="L60">
        <f t="shared" si="1"/>
        <v>2024</v>
      </c>
    </row>
    <row r="61" spans="1:12" x14ac:dyDescent="0.45">
      <c r="A61" s="14">
        <v>45738</v>
      </c>
      <c r="B61" s="6">
        <v>3354</v>
      </c>
      <c r="C61" s="6">
        <v>151.75</v>
      </c>
      <c r="D61" s="6">
        <v>18</v>
      </c>
      <c r="E61" s="6" t="s">
        <v>29</v>
      </c>
      <c r="F61" s="6" t="s">
        <v>11</v>
      </c>
      <c r="G61" s="6" t="s">
        <v>12</v>
      </c>
      <c r="H61" s="6" t="s">
        <v>28</v>
      </c>
      <c r="I61" s="6" t="s">
        <v>14</v>
      </c>
      <c r="J61" s="7">
        <v>4139</v>
      </c>
      <c r="K61" t="str">
        <f t="shared" si="0"/>
        <v>Mar</v>
      </c>
      <c r="L61">
        <f t="shared" si="1"/>
        <v>2025</v>
      </c>
    </row>
    <row r="62" spans="1:12" x14ac:dyDescent="0.45">
      <c r="A62" s="13">
        <v>45610</v>
      </c>
      <c r="B62" s="4">
        <v>1886</v>
      </c>
      <c r="C62" s="4">
        <v>35.96</v>
      </c>
      <c r="D62" s="4">
        <v>18</v>
      </c>
      <c r="E62" s="4" t="s">
        <v>10</v>
      </c>
      <c r="F62" s="4" t="s">
        <v>1</v>
      </c>
      <c r="G62" s="4" t="s">
        <v>30</v>
      </c>
      <c r="H62" s="4" t="s">
        <v>38</v>
      </c>
      <c r="I62" s="4" t="s">
        <v>21</v>
      </c>
      <c r="J62" s="5">
        <v>1771</v>
      </c>
      <c r="K62" t="str">
        <f t="shared" si="0"/>
        <v>Nov</v>
      </c>
      <c r="L62">
        <f t="shared" si="1"/>
        <v>2024</v>
      </c>
    </row>
    <row r="63" spans="1:12" x14ac:dyDescent="0.45">
      <c r="A63" s="14">
        <v>45773</v>
      </c>
      <c r="B63" s="6">
        <v>2703</v>
      </c>
      <c r="C63" s="6">
        <v>154.65</v>
      </c>
      <c r="D63" s="6">
        <v>18</v>
      </c>
      <c r="E63" s="6" t="s">
        <v>19</v>
      </c>
      <c r="F63" s="6" t="s">
        <v>11</v>
      </c>
      <c r="G63" s="6" t="s">
        <v>22</v>
      </c>
      <c r="H63" s="6" t="s">
        <v>36</v>
      </c>
      <c r="I63" s="6" t="s">
        <v>14</v>
      </c>
      <c r="J63" s="7">
        <v>906</v>
      </c>
      <c r="K63" t="str">
        <f t="shared" si="0"/>
        <v>Apr</v>
      </c>
      <c r="L63">
        <f t="shared" si="1"/>
        <v>2025</v>
      </c>
    </row>
    <row r="64" spans="1:12" x14ac:dyDescent="0.45">
      <c r="A64" s="13">
        <v>45633</v>
      </c>
      <c r="B64" s="4">
        <v>3537</v>
      </c>
      <c r="C64" s="4">
        <v>148.6</v>
      </c>
      <c r="D64" s="4">
        <v>18</v>
      </c>
      <c r="E64" s="4" t="s">
        <v>19</v>
      </c>
      <c r="F64" s="4" t="s">
        <v>15</v>
      </c>
      <c r="G64" s="4" t="s">
        <v>22</v>
      </c>
      <c r="H64" s="4" t="s">
        <v>37</v>
      </c>
      <c r="I64" s="4" t="s">
        <v>34</v>
      </c>
      <c r="J64" s="5">
        <v>3426</v>
      </c>
      <c r="K64" t="str">
        <f t="shared" si="0"/>
        <v>Dec</v>
      </c>
      <c r="L64">
        <f t="shared" si="1"/>
        <v>2024</v>
      </c>
    </row>
    <row r="65" spans="1:12" x14ac:dyDescent="0.45">
      <c r="A65" s="14">
        <v>45553</v>
      </c>
      <c r="B65" s="6">
        <v>3209</v>
      </c>
      <c r="C65" s="6">
        <v>29.1</v>
      </c>
      <c r="D65" s="6">
        <v>18</v>
      </c>
      <c r="E65" s="6" t="s">
        <v>19</v>
      </c>
      <c r="F65" s="6" t="s">
        <v>1</v>
      </c>
      <c r="G65" s="6" t="s">
        <v>12</v>
      </c>
      <c r="H65" s="6" t="s">
        <v>28</v>
      </c>
      <c r="I65" s="6" t="s">
        <v>34</v>
      </c>
      <c r="J65" s="7">
        <v>2835</v>
      </c>
      <c r="K65" t="str">
        <f t="shared" si="0"/>
        <v>Sep</v>
      </c>
      <c r="L65">
        <f t="shared" si="1"/>
        <v>2024</v>
      </c>
    </row>
    <row r="66" spans="1:12" x14ac:dyDescent="0.45">
      <c r="A66" s="13">
        <v>45737</v>
      </c>
      <c r="B66" s="4">
        <v>604</v>
      </c>
      <c r="C66" s="4">
        <v>14.620000000000001</v>
      </c>
      <c r="D66" s="4">
        <v>18</v>
      </c>
      <c r="E66" s="4" t="s">
        <v>27</v>
      </c>
      <c r="F66" s="4" t="s">
        <v>15</v>
      </c>
      <c r="G66" s="4" t="s">
        <v>12</v>
      </c>
      <c r="H66" s="4" t="s">
        <v>32</v>
      </c>
      <c r="I66" s="4" t="s">
        <v>34</v>
      </c>
      <c r="J66" s="5">
        <v>860</v>
      </c>
      <c r="K66" t="str">
        <f t="shared" si="0"/>
        <v>Mar</v>
      </c>
      <c r="L66">
        <f t="shared" si="1"/>
        <v>2025</v>
      </c>
    </row>
    <row r="67" spans="1:12" x14ac:dyDescent="0.45">
      <c r="A67" s="14">
        <v>45611</v>
      </c>
      <c r="B67" s="6">
        <v>1543</v>
      </c>
      <c r="C67" s="6">
        <v>243.60000000000002</v>
      </c>
      <c r="D67" s="6">
        <v>19</v>
      </c>
      <c r="E67" s="6" t="s">
        <v>29</v>
      </c>
      <c r="F67" s="6" t="s">
        <v>15</v>
      </c>
      <c r="G67" s="6" t="s">
        <v>30</v>
      </c>
      <c r="H67" s="6" t="s">
        <v>13</v>
      </c>
      <c r="I67" s="6" t="s">
        <v>24</v>
      </c>
      <c r="J67" s="7">
        <v>1798</v>
      </c>
      <c r="K67" t="str">
        <f t="shared" ref="K67:K130" si="2">TEXT(A67,"mmm")</f>
        <v>Nov</v>
      </c>
      <c r="L67">
        <f t="shared" ref="L67:L130" si="3">YEAR(A67)</f>
        <v>2024</v>
      </c>
    </row>
    <row r="68" spans="1:12" x14ac:dyDescent="0.45">
      <c r="A68" s="13">
        <v>45510</v>
      </c>
      <c r="B68" s="4">
        <v>3937</v>
      </c>
      <c r="C68" s="4">
        <v>27.04</v>
      </c>
      <c r="D68" s="4">
        <v>19</v>
      </c>
      <c r="E68" s="4" t="s">
        <v>29</v>
      </c>
      <c r="F68" s="4" t="s">
        <v>15</v>
      </c>
      <c r="G68" s="4" t="s">
        <v>12</v>
      </c>
      <c r="H68" s="4" t="s">
        <v>33</v>
      </c>
      <c r="I68" s="4" t="s">
        <v>26</v>
      </c>
      <c r="J68" s="5">
        <v>2069</v>
      </c>
      <c r="K68" t="str">
        <f t="shared" si="2"/>
        <v>Aug</v>
      </c>
      <c r="L68">
        <f t="shared" si="3"/>
        <v>2024</v>
      </c>
    </row>
    <row r="69" spans="1:12" x14ac:dyDescent="0.45">
      <c r="A69" s="14">
        <v>45504</v>
      </c>
      <c r="B69" s="6">
        <v>2024</v>
      </c>
      <c r="C69" s="6">
        <v>14.14</v>
      </c>
      <c r="D69" s="6">
        <v>19</v>
      </c>
      <c r="E69" s="6" t="s">
        <v>29</v>
      </c>
      <c r="F69" s="6" t="s">
        <v>11</v>
      </c>
      <c r="G69" s="6" t="s">
        <v>22</v>
      </c>
      <c r="H69" s="6" t="s">
        <v>20</v>
      </c>
      <c r="I69" s="6" t="s">
        <v>24</v>
      </c>
      <c r="J69" s="7">
        <v>3890</v>
      </c>
      <c r="K69" t="str">
        <f t="shared" si="2"/>
        <v>Jul</v>
      </c>
      <c r="L69">
        <f t="shared" si="3"/>
        <v>2024</v>
      </c>
    </row>
    <row r="70" spans="1:12" x14ac:dyDescent="0.45">
      <c r="A70" s="13">
        <v>45606</v>
      </c>
      <c r="B70" s="4">
        <v>1810</v>
      </c>
      <c r="C70" s="4">
        <v>233.85000000000002</v>
      </c>
      <c r="D70" s="4">
        <v>19</v>
      </c>
      <c r="E70" s="4" t="s">
        <v>10</v>
      </c>
      <c r="F70" s="4" t="s">
        <v>11</v>
      </c>
      <c r="G70" s="4" t="s">
        <v>22</v>
      </c>
      <c r="H70" s="4" t="s">
        <v>33</v>
      </c>
      <c r="I70" s="4" t="s">
        <v>34</v>
      </c>
      <c r="J70" s="5">
        <v>2038</v>
      </c>
      <c r="K70" t="str">
        <f t="shared" si="2"/>
        <v>Nov</v>
      </c>
      <c r="L70">
        <f t="shared" si="3"/>
        <v>2024</v>
      </c>
    </row>
    <row r="71" spans="1:12" x14ac:dyDescent="0.45">
      <c r="A71" s="14">
        <v>45673</v>
      </c>
      <c r="B71" s="6">
        <v>3092</v>
      </c>
      <c r="C71" s="6">
        <v>184.75</v>
      </c>
      <c r="D71" s="6">
        <v>19</v>
      </c>
      <c r="E71" s="6" t="s">
        <v>19</v>
      </c>
      <c r="F71" s="6" t="s">
        <v>11</v>
      </c>
      <c r="G71" s="6" t="s">
        <v>22</v>
      </c>
      <c r="H71" s="6" t="s">
        <v>36</v>
      </c>
      <c r="I71" s="6" t="s">
        <v>26</v>
      </c>
      <c r="J71" s="7">
        <v>3190</v>
      </c>
      <c r="K71" t="str">
        <f t="shared" si="2"/>
        <v>Jan</v>
      </c>
      <c r="L71">
        <f t="shared" si="3"/>
        <v>2025</v>
      </c>
    </row>
    <row r="72" spans="1:12" x14ac:dyDescent="0.45">
      <c r="A72" s="13">
        <v>45530</v>
      </c>
      <c r="B72" s="4">
        <v>2943</v>
      </c>
      <c r="C72" s="4">
        <v>21.66</v>
      </c>
      <c r="D72" s="4">
        <v>19</v>
      </c>
      <c r="E72" s="4" t="s">
        <v>27</v>
      </c>
      <c r="F72" s="4" t="s">
        <v>15</v>
      </c>
      <c r="G72" s="4" t="s">
        <v>30</v>
      </c>
      <c r="H72" s="4" t="s">
        <v>20</v>
      </c>
      <c r="I72" s="4" t="s">
        <v>34</v>
      </c>
      <c r="J72" s="5">
        <v>3816</v>
      </c>
      <c r="K72" t="str">
        <f t="shared" si="2"/>
        <v>Aug</v>
      </c>
      <c r="L72">
        <f t="shared" si="3"/>
        <v>2024</v>
      </c>
    </row>
    <row r="73" spans="1:12" x14ac:dyDescent="0.45">
      <c r="A73" s="14">
        <v>45512</v>
      </c>
      <c r="B73" s="6">
        <v>1770</v>
      </c>
      <c r="C73" s="6">
        <v>153.95000000000002</v>
      </c>
      <c r="D73" s="6">
        <v>19</v>
      </c>
      <c r="E73" s="6" t="s">
        <v>27</v>
      </c>
      <c r="F73" s="6" t="s">
        <v>11</v>
      </c>
      <c r="G73" s="6" t="s">
        <v>12</v>
      </c>
      <c r="H73" s="6" t="s">
        <v>23</v>
      </c>
      <c r="I73" s="6" t="s">
        <v>24</v>
      </c>
      <c r="J73" s="7">
        <v>862</v>
      </c>
      <c r="K73" t="str">
        <f t="shared" si="2"/>
        <v>Aug</v>
      </c>
      <c r="L73">
        <f t="shared" si="3"/>
        <v>2024</v>
      </c>
    </row>
    <row r="74" spans="1:12" x14ac:dyDescent="0.45">
      <c r="A74" s="13">
        <v>45585</v>
      </c>
      <c r="B74" s="4">
        <v>3268</v>
      </c>
      <c r="C74" s="4">
        <v>128.70000000000002</v>
      </c>
      <c r="D74" s="4">
        <v>20</v>
      </c>
      <c r="E74" s="4" t="s">
        <v>29</v>
      </c>
      <c r="F74" s="4" t="s">
        <v>11</v>
      </c>
      <c r="G74" s="4" t="s">
        <v>16</v>
      </c>
      <c r="H74" s="4" t="s">
        <v>17</v>
      </c>
      <c r="I74" s="4" t="s">
        <v>21</v>
      </c>
      <c r="J74" s="5">
        <v>2099</v>
      </c>
      <c r="K74" t="str">
        <f t="shared" si="2"/>
        <v>Oct</v>
      </c>
      <c r="L74">
        <f t="shared" si="3"/>
        <v>2024</v>
      </c>
    </row>
    <row r="75" spans="1:12" x14ac:dyDescent="0.45">
      <c r="A75" s="14">
        <v>45481</v>
      </c>
      <c r="B75" s="6">
        <v>1770</v>
      </c>
      <c r="C75" s="6">
        <v>29.1</v>
      </c>
      <c r="D75" s="6">
        <v>20</v>
      </c>
      <c r="E75" s="6" t="s">
        <v>29</v>
      </c>
      <c r="F75" s="6" t="s">
        <v>11</v>
      </c>
      <c r="G75" s="6" t="s">
        <v>22</v>
      </c>
      <c r="H75" s="6" t="s">
        <v>36</v>
      </c>
      <c r="I75" s="6" t="s">
        <v>26</v>
      </c>
      <c r="J75" s="7">
        <v>4209</v>
      </c>
      <c r="K75" t="str">
        <f t="shared" si="2"/>
        <v>Jul</v>
      </c>
      <c r="L75">
        <f t="shared" si="3"/>
        <v>2024</v>
      </c>
    </row>
    <row r="76" spans="1:12" x14ac:dyDescent="0.45">
      <c r="A76" s="13">
        <v>45800</v>
      </c>
      <c r="B76" s="4">
        <v>571</v>
      </c>
      <c r="C76" s="4">
        <v>35.74</v>
      </c>
      <c r="D76" s="4">
        <v>20</v>
      </c>
      <c r="E76" s="4" t="s">
        <v>19</v>
      </c>
      <c r="F76" s="4" t="s">
        <v>1</v>
      </c>
      <c r="G76" s="4" t="s">
        <v>16</v>
      </c>
      <c r="H76" s="4" t="s">
        <v>17</v>
      </c>
      <c r="I76" s="4" t="s">
        <v>14</v>
      </c>
      <c r="J76" s="5">
        <v>2386</v>
      </c>
      <c r="K76" t="str">
        <f t="shared" si="2"/>
        <v>May</v>
      </c>
      <c r="L76">
        <f t="shared" si="3"/>
        <v>2025</v>
      </c>
    </row>
    <row r="77" spans="1:12" x14ac:dyDescent="0.45">
      <c r="A77" s="14">
        <v>45790</v>
      </c>
      <c r="B77" s="6">
        <v>3302</v>
      </c>
      <c r="C77" s="6">
        <v>11.200000000000001</v>
      </c>
      <c r="D77" s="6">
        <v>20</v>
      </c>
      <c r="E77" s="6" t="s">
        <v>19</v>
      </c>
      <c r="F77" s="6" t="s">
        <v>1</v>
      </c>
      <c r="G77" s="6" t="s">
        <v>22</v>
      </c>
      <c r="H77" s="6" t="s">
        <v>31</v>
      </c>
      <c r="I77" s="6" t="s">
        <v>24</v>
      </c>
      <c r="J77" s="7">
        <v>3739</v>
      </c>
      <c r="K77" t="str">
        <f t="shared" si="2"/>
        <v>May</v>
      </c>
      <c r="L77">
        <f t="shared" si="3"/>
        <v>2025</v>
      </c>
    </row>
    <row r="78" spans="1:12" x14ac:dyDescent="0.45">
      <c r="A78" s="13">
        <v>45567</v>
      </c>
      <c r="B78" s="4">
        <v>1829</v>
      </c>
      <c r="C78" s="4">
        <v>41.92</v>
      </c>
      <c r="D78" s="4">
        <v>20</v>
      </c>
      <c r="E78" s="4" t="s">
        <v>19</v>
      </c>
      <c r="F78" s="4" t="s">
        <v>11</v>
      </c>
      <c r="G78" s="4" t="s">
        <v>12</v>
      </c>
      <c r="H78" s="4" t="s">
        <v>32</v>
      </c>
      <c r="I78" s="4" t="s">
        <v>26</v>
      </c>
      <c r="J78" s="5">
        <v>813</v>
      </c>
      <c r="K78" t="str">
        <f t="shared" si="2"/>
        <v>Oct</v>
      </c>
      <c r="L78">
        <f t="shared" si="3"/>
        <v>2024</v>
      </c>
    </row>
    <row r="79" spans="1:12" x14ac:dyDescent="0.45">
      <c r="A79" s="14">
        <v>45556</v>
      </c>
      <c r="B79" s="6">
        <v>1566</v>
      </c>
      <c r="C79" s="6">
        <v>168.75</v>
      </c>
      <c r="D79" s="6">
        <v>20</v>
      </c>
      <c r="E79" s="6" t="s">
        <v>27</v>
      </c>
      <c r="F79" s="6" t="s">
        <v>11</v>
      </c>
      <c r="G79" s="6" t="s">
        <v>12</v>
      </c>
      <c r="H79" s="6" t="s">
        <v>32</v>
      </c>
      <c r="I79" s="6" t="s">
        <v>24</v>
      </c>
      <c r="J79" s="7">
        <v>4051</v>
      </c>
      <c r="K79" t="str">
        <f t="shared" si="2"/>
        <v>Sep</v>
      </c>
      <c r="L79">
        <f t="shared" si="3"/>
        <v>2024</v>
      </c>
    </row>
    <row r="80" spans="1:12" x14ac:dyDescent="0.45">
      <c r="A80" s="13">
        <v>45467</v>
      </c>
      <c r="B80" s="4">
        <v>3684</v>
      </c>
      <c r="C80" s="4">
        <v>156.25</v>
      </c>
      <c r="D80" s="4">
        <v>20</v>
      </c>
      <c r="E80" s="4" t="s">
        <v>27</v>
      </c>
      <c r="F80" s="4" t="s">
        <v>15</v>
      </c>
      <c r="G80" s="4" t="s">
        <v>16</v>
      </c>
      <c r="H80" s="4" t="s">
        <v>23</v>
      </c>
      <c r="I80" s="4" t="s">
        <v>18</v>
      </c>
      <c r="J80" s="5">
        <v>1429</v>
      </c>
      <c r="K80" t="str">
        <f t="shared" si="2"/>
        <v>Jun</v>
      </c>
      <c r="L80">
        <f t="shared" si="3"/>
        <v>2024</v>
      </c>
    </row>
    <row r="81" spans="1:12" x14ac:dyDescent="0.45">
      <c r="A81" s="14">
        <v>45793</v>
      </c>
      <c r="B81" s="6">
        <v>1380</v>
      </c>
      <c r="C81" s="6">
        <v>208.60000000000002</v>
      </c>
      <c r="D81" s="6">
        <v>21</v>
      </c>
      <c r="E81" s="6" t="s">
        <v>10</v>
      </c>
      <c r="F81" s="6" t="s">
        <v>11</v>
      </c>
      <c r="G81" s="6" t="s">
        <v>12</v>
      </c>
      <c r="H81" s="6" t="s">
        <v>36</v>
      </c>
      <c r="I81" s="6" t="s">
        <v>21</v>
      </c>
      <c r="J81" s="7">
        <v>3043</v>
      </c>
      <c r="K81" t="str">
        <f t="shared" si="2"/>
        <v>May</v>
      </c>
      <c r="L81">
        <f t="shared" si="3"/>
        <v>2025</v>
      </c>
    </row>
    <row r="82" spans="1:12" x14ac:dyDescent="0.45">
      <c r="A82" s="13">
        <v>45618</v>
      </c>
      <c r="B82" s="4">
        <v>2391</v>
      </c>
      <c r="C82" s="4">
        <v>22.900000000000002</v>
      </c>
      <c r="D82" s="4">
        <v>21</v>
      </c>
      <c r="E82" s="4" t="s">
        <v>10</v>
      </c>
      <c r="F82" s="4" t="s">
        <v>11</v>
      </c>
      <c r="G82" s="4" t="s">
        <v>30</v>
      </c>
      <c r="H82" s="4" t="s">
        <v>35</v>
      </c>
      <c r="I82" s="4" t="s">
        <v>26</v>
      </c>
      <c r="J82" s="5">
        <v>1021</v>
      </c>
      <c r="K82" t="str">
        <f t="shared" si="2"/>
        <v>Nov</v>
      </c>
      <c r="L82">
        <f t="shared" si="3"/>
        <v>2024</v>
      </c>
    </row>
    <row r="83" spans="1:12" x14ac:dyDescent="0.45">
      <c r="A83" s="14">
        <v>45483</v>
      </c>
      <c r="B83" s="6">
        <v>826</v>
      </c>
      <c r="C83" s="6">
        <v>150.85</v>
      </c>
      <c r="D83" s="6">
        <v>21</v>
      </c>
      <c r="E83" s="6" t="s">
        <v>19</v>
      </c>
      <c r="F83" s="6" t="s">
        <v>1</v>
      </c>
      <c r="G83" s="6" t="s">
        <v>12</v>
      </c>
      <c r="H83" s="6" t="s">
        <v>32</v>
      </c>
      <c r="I83" s="6" t="s">
        <v>34</v>
      </c>
      <c r="J83" s="7">
        <v>2135</v>
      </c>
      <c r="K83" t="str">
        <f t="shared" si="2"/>
        <v>Jul</v>
      </c>
      <c r="L83">
        <f t="shared" si="3"/>
        <v>2024</v>
      </c>
    </row>
    <row r="84" spans="1:12" x14ac:dyDescent="0.45">
      <c r="A84" s="13">
        <v>45730</v>
      </c>
      <c r="B84" s="4">
        <v>2821</v>
      </c>
      <c r="C84" s="4">
        <v>183.75</v>
      </c>
      <c r="D84" s="4">
        <v>21</v>
      </c>
      <c r="E84" s="4" t="s">
        <v>27</v>
      </c>
      <c r="F84" s="4" t="s">
        <v>15</v>
      </c>
      <c r="G84" s="4" t="s">
        <v>30</v>
      </c>
      <c r="H84" s="4" t="s">
        <v>33</v>
      </c>
      <c r="I84" s="4" t="s">
        <v>21</v>
      </c>
      <c r="J84" s="5">
        <v>967</v>
      </c>
      <c r="K84" t="str">
        <f t="shared" si="2"/>
        <v>Mar</v>
      </c>
      <c r="L84">
        <f t="shared" si="3"/>
        <v>2025</v>
      </c>
    </row>
    <row r="85" spans="1:12" x14ac:dyDescent="0.45">
      <c r="A85" s="14">
        <v>45710</v>
      </c>
      <c r="B85" s="6">
        <v>3431</v>
      </c>
      <c r="C85" s="6">
        <v>40.9</v>
      </c>
      <c r="D85" s="6">
        <v>21</v>
      </c>
      <c r="E85" s="6" t="s">
        <v>27</v>
      </c>
      <c r="F85" s="6" t="s">
        <v>11</v>
      </c>
      <c r="G85" s="6" t="s">
        <v>12</v>
      </c>
      <c r="H85" s="6" t="s">
        <v>25</v>
      </c>
      <c r="I85" s="6" t="s">
        <v>14</v>
      </c>
      <c r="J85" s="7">
        <v>3975</v>
      </c>
      <c r="K85" t="str">
        <f t="shared" si="2"/>
        <v>Feb</v>
      </c>
      <c r="L85">
        <f t="shared" si="3"/>
        <v>2025</v>
      </c>
    </row>
    <row r="86" spans="1:12" x14ac:dyDescent="0.45">
      <c r="A86" s="13">
        <v>45683</v>
      </c>
      <c r="B86" s="4">
        <v>2786</v>
      </c>
      <c r="C86" s="4">
        <v>10.18</v>
      </c>
      <c r="D86" s="4">
        <v>21</v>
      </c>
      <c r="E86" s="4" t="s">
        <v>27</v>
      </c>
      <c r="F86" s="4" t="s">
        <v>1</v>
      </c>
      <c r="G86" s="4" t="s">
        <v>12</v>
      </c>
      <c r="H86" s="4" t="s">
        <v>17</v>
      </c>
      <c r="I86" s="4" t="s">
        <v>18</v>
      </c>
      <c r="J86" s="5">
        <v>1732</v>
      </c>
      <c r="K86" t="str">
        <f t="shared" si="2"/>
        <v>Jan</v>
      </c>
      <c r="L86">
        <f t="shared" si="3"/>
        <v>2025</v>
      </c>
    </row>
    <row r="87" spans="1:12" x14ac:dyDescent="0.45">
      <c r="A87" s="14">
        <v>45701</v>
      </c>
      <c r="B87" s="6">
        <v>604</v>
      </c>
      <c r="C87" s="6">
        <v>29.66</v>
      </c>
      <c r="D87" s="6">
        <v>22</v>
      </c>
      <c r="E87" s="6" t="s">
        <v>29</v>
      </c>
      <c r="F87" s="6" t="s">
        <v>11</v>
      </c>
      <c r="G87" s="6" t="s">
        <v>12</v>
      </c>
      <c r="H87" s="6" t="s">
        <v>20</v>
      </c>
      <c r="I87" s="6" t="s">
        <v>18</v>
      </c>
      <c r="J87" s="7">
        <v>3044</v>
      </c>
      <c r="K87" t="str">
        <f t="shared" si="2"/>
        <v>Feb</v>
      </c>
      <c r="L87">
        <f t="shared" si="3"/>
        <v>2025</v>
      </c>
    </row>
    <row r="88" spans="1:12" x14ac:dyDescent="0.45">
      <c r="A88" s="13">
        <v>45632</v>
      </c>
      <c r="B88" s="4">
        <v>3073</v>
      </c>
      <c r="C88" s="4">
        <v>12.200000000000001</v>
      </c>
      <c r="D88" s="4">
        <v>22</v>
      </c>
      <c r="E88" s="4" t="s">
        <v>29</v>
      </c>
      <c r="F88" s="4" t="s">
        <v>15</v>
      </c>
      <c r="G88" s="4" t="s">
        <v>22</v>
      </c>
      <c r="H88" s="4" t="s">
        <v>17</v>
      </c>
      <c r="I88" s="4" t="s">
        <v>21</v>
      </c>
      <c r="J88" s="5">
        <v>527</v>
      </c>
      <c r="K88" t="str">
        <f t="shared" si="2"/>
        <v>Dec</v>
      </c>
      <c r="L88">
        <f t="shared" si="3"/>
        <v>2024</v>
      </c>
    </row>
    <row r="89" spans="1:12" x14ac:dyDescent="0.45">
      <c r="A89" s="14">
        <v>45577</v>
      </c>
      <c r="B89" s="6">
        <v>2802</v>
      </c>
      <c r="C89" s="6">
        <v>179</v>
      </c>
      <c r="D89" s="6">
        <v>22</v>
      </c>
      <c r="E89" s="6" t="s">
        <v>29</v>
      </c>
      <c r="F89" s="6" t="s">
        <v>15</v>
      </c>
      <c r="G89" s="6" t="s">
        <v>30</v>
      </c>
      <c r="H89" s="6" t="s">
        <v>36</v>
      </c>
      <c r="I89" s="6" t="s">
        <v>18</v>
      </c>
      <c r="J89" s="7">
        <v>1400</v>
      </c>
      <c r="K89" t="str">
        <f t="shared" si="2"/>
        <v>Oct</v>
      </c>
      <c r="L89">
        <f t="shared" si="3"/>
        <v>2024</v>
      </c>
    </row>
    <row r="90" spans="1:12" x14ac:dyDescent="0.45">
      <c r="A90" s="13">
        <v>45508</v>
      </c>
      <c r="B90" s="4">
        <v>1242</v>
      </c>
      <c r="C90" s="4">
        <v>16.100000000000001</v>
      </c>
      <c r="D90" s="4">
        <v>22</v>
      </c>
      <c r="E90" s="4" t="s">
        <v>29</v>
      </c>
      <c r="F90" s="4" t="s">
        <v>11</v>
      </c>
      <c r="G90" s="4" t="s">
        <v>16</v>
      </c>
      <c r="H90" s="4" t="s">
        <v>17</v>
      </c>
      <c r="I90" s="4" t="s">
        <v>18</v>
      </c>
      <c r="J90" s="5">
        <v>2576</v>
      </c>
      <c r="K90" t="str">
        <f t="shared" si="2"/>
        <v>Aug</v>
      </c>
      <c r="L90">
        <f t="shared" si="3"/>
        <v>2024</v>
      </c>
    </row>
    <row r="91" spans="1:12" x14ac:dyDescent="0.45">
      <c r="A91" s="14">
        <v>45490</v>
      </c>
      <c r="B91" s="6">
        <v>1565</v>
      </c>
      <c r="C91" s="6">
        <v>243.60000000000002</v>
      </c>
      <c r="D91" s="6">
        <v>22</v>
      </c>
      <c r="E91" s="6" t="s">
        <v>29</v>
      </c>
      <c r="F91" s="6" t="s">
        <v>11</v>
      </c>
      <c r="G91" s="6" t="s">
        <v>30</v>
      </c>
      <c r="H91" s="6" t="s">
        <v>13</v>
      </c>
      <c r="I91" s="6" t="s">
        <v>21</v>
      </c>
      <c r="J91" s="7">
        <v>1987</v>
      </c>
      <c r="K91" t="str">
        <f t="shared" si="2"/>
        <v>Jul</v>
      </c>
      <c r="L91">
        <f t="shared" si="3"/>
        <v>2024</v>
      </c>
    </row>
    <row r="92" spans="1:12" x14ac:dyDescent="0.45">
      <c r="A92" s="13">
        <v>45716</v>
      </c>
      <c r="B92" s="4">
        <v>1309</v>
      </c>
      <c r="C92" s="4">
        <v>10.72</v>
      </c>
      <c r="D92" s="4">
        <v>22</v>
      </c>
      <c r="E92" s="4" t="s">
        <v>10</v>
      </c>
      <c r="F92" s="4" t="s">
        <v>1</v>
      </c>
      <c r="G92" s="4" t="s">
        <v>22</v>
      </c>
      <c r="H92" s="4" t="s">
        <v>36</v>
      </c>
      <c r="I92" s="4" t="s">
        <v>18</v>
      </c>
      <c r="J92" s="5">
        <v>770</v>
      </c>
      <c r="K92" t="str">
        <f t="shared" si="2"/>
        <v>Feb</v>
      </c>
      <c r="L92">
        <f t="shared" si="3"/>
        <v>2025</v>
      </c>
    </row>
    <row r="93" spans="1:12" x14ac:dyDescent="0.45">
      <c r="A93" s="14">
        <v>45665</v>
      </c>
      <c r="B93" s="6">
        <v>1395</v>
      </c>
      <c r="C93" s="6">
        <v>14.72</v>
      </c>
      <c r="D93" s="6">
        <v>22</v>
      </c>
      <c r="E93" s="6" t="s">
        <v>10</v>
      </c>
      <c r="F93" s="6" t="s">
        <v>15</v>
      </c>
      <c r="G93" s="6" t="s">
        <v>12</v>
      </c>
      <c r="H93" s="6" t="s">
        <v>37</v>
      </c>
      <c r="I93" s="6" t="s">
        <v>14</v>
      </c>
      <c r="J93" s="7">
        <v>1439</v>
      </c>
      <c r="K93" t="str">
        <f t="shared" si="2"/>
        <v>Jan</v>
      </c>
      <c r="L93">
        <f t="shared" si="3"/>
        <v>2025</v>
      </c>
    </row>
    <row r="94" spans="1:12" x14ac:dyDescent="0.45">
      <c r="A94" s="13">
        <v>45652</v>
      </c>
      <c r="B94" s="4">
        <v>1161</v>
      </c>
      <c r="C94" s="4">
        <v>25.18</v>
      </c>
      <c r="D94" s="4">
        <v>22</v>
      </c>
      <c r="E94" s="4" t="s">
        <v>10</v>
      </c>
      <c r="F94" s="4" t="s">
        <v>1</v>
      </c>
      <c r="G94" s="4" t="s">
        <v>16</v>
      </c>
      <c r="H94" s="4" t="s">
        <v>25</v>
      </c>
      <c r="I94" s="4" t="s">
        <v>24</v>
      </c>
      <c r="J94" s="5">
        <v>1348</v>
      </c>
      <c r="K94" t="str">
        <f t="shared" si="2"/>
        <v>Dec</v>
      </c>
      <c r="L94">
        <f t="shared" si="3"/>
        <v>2024</v>
      </c>
    </row>
    <row r="95" spans="1:12" x14ac:dyDescent="0.45">
      <c r="A95" s="14">
        <v>45533</v>
      </c>
      <c r="B95" s="6">
        <v>2204</v>
      </c>
      <c r="C95" s="6">
        <v>154.4</v>
      </c>
      <c r="D95" s="6">
        <v>22</v>
      </c>
      <c r="E95" s="6" t="s">
        <v>10</v>
      </c>
      <c r="F95" s="6" t="s">
        <v>15</v>
      </c>
      <c r="G95" s="6" t="s">
        <v>22</v>
      </c>
      <c r="H95" s="6" t="s">
        <v>38</v>
      </c>
      <c r="I95" s="6" t="s">
        <v>24</v>
      </c>
      <c r="J95" s="7">
        <v>4021</v>
      </c>
      <c r="K95" t="str">
        <f t="shared" si="2"/>
        <v>Aug</v>
      </c>
      <c r="L95">
        <f t="shared" si="3"/>
        <v>2024</v>
      </c>
    </row>
    <row r="96" spans="1:12" x14ac:dyDescent="0.45">
      <c r="A96" s="13">
        <v>45523</v>
      </c>
      <c r="B96" s="4">
        <v>1173</v>
      </c>
      <c r="C96" s="4">
        <v>203.85000000000002</v>
      </c>
      <c r="D96" s="4">
        <v>22</v>
      </c>
      <c r="E96" s="4" t="s">
        <v>10</v>
      </c>
      <c r="F96" s="4" t="s">
        <v>11</v>
      </c>
      <c r="G96" s="4" t="s">
        <v>30</v>
      </c>
      <c r="H96" s="4" t="s">
        <v>23</v>
      </c>
      <c r="I96" s="4" t="s">
        <v>24</v>
      </c>
      <c r="J96" s="5">
        <v>1800</v>
      </c>
      <c r="K96" t="str">
        <f t="shared" si="2"/>
        <v>Aug</v>
      </c>
      <c r="L96">
        <f t="shared" si="3"/>
        <v>2024</v>
      </c>
    </row>
    <row r="97" spans="1:12" x14ac:dyDescent="0.45">
      <c r="A97" s="14">
        <v>45501</v>
      </c>
      <c r="B97" s="6">
        <v>3803</v>
      </c>
      <c r="C97" s="6">
        <v>169.85000000000002</v>
      </c>
      <c r="D97" s="6">
        <v>22</v>
      </c>
      <c r="E97" s="6" t="s">
        <v>10</v>
      </c>
      <c r="F97" s="6" t="s">
        <v>11</v>
      </c>
      <c r="G97" s="6" t="s">
        <v>12</v>
      </c>
      <c r="H97" s="6" t="s">
        <v>36</v>
      </c>
      <c r="I97" s="6" t="s">
        <v>21</v>
      </c>
      <c r="J97" s="7">
        <v>3496</v>
      </c>
      <c r="K97" t="str">
        <f t="shared" si="2"/>
        <v>Jul</v>
      </c>
      <c r="L97">
        <f t="shared" si="3"/>
        <v>2024</v>
      </c>
    </row>
    <row r="98" spans="1:12" x14ac:dyDescent="0.45">
      <c r="A98" s="13">
        <v>45474</v>
      </c>
      <c r="B98" s="4">
        <v>3801</v>
      </c>
      <c r="C98" s="4">
        <v>207.3</v>
      </c>
      <c r="D98" s="4">
        <v>22</v>
      </c>
      <c r="E98" s="4" t="s">
        <v>19</v>
      </c>
      <c r="F98" s="4" t="s">
        <v>15</v>
      </c>
      <c r="G98" s="4" t="s">
        <v>30</v>
      </c>
      <c r="H98" s="4" t="s">
        <v>13</v>
      </c>
      <c r="I98" s="4" t="s">
        <v>18</v>
      </c>
      <c r="J98" s="5">
        <v>3622</v>
      </c>
      <c r="K98" t="str">
        <f t="shared" si="2"/>
        <v>Jul</v>
      </c>
      <c r="L98">
        <f t="shared" si="3"/>
        <v>2024</v>
      </c>
    </row>
    <row r="99" spans="1:12" x14ac:dyDescent="0.45">
      <c r="A99" s="14">
        <v>45770</v>
      </c>
      <c r="B99" s="6">
        <v>3857</v>
      </c>
      <c r="C99" s="6">
        <v>28.28</v>
      </c>
      <c r="D99" s="6">
        <v>22</v>
      </c>
      <c r="E99" s="6" t="s">
        <v>27</v>
      </c>
      <c r="F99" s="6" t="s">
        <v>1</v>
      </c>
      <c r="G99" s="6" t="s">
        <v>12</v>
      </c>
      <c r="H99" s="6" t="s">
        <v>23</v>
      </c>
      <c r="I99" s="6" t="s">
        <v>24</v>
      </c>
      <c r="J99" s="7">
        <v>1064</v>
      </c>
      <c r="K99" t="str">
        <f t="shared" si="2"/>
        <v>Apr</v>
      </c>
      <c r="L99">
        <f t="shared" si="3"/>
        <v>2025</v>
      </c>
    </row>
    <row r="100" spans="1:12" x14ac:dyDescent="0.45">
      <c r="A100" s="13">
        <v>45594</v>
      </c>
      <c r="B100" s="4">
        <v>1074</v>
      </c>
      <c r="C100" s="4">
        <v>170.25</v>
      </c>
      <c r="D100" s="4">
        <v>22</v>
      </c>
      <c r="E100" s="4" t="s">
        <v>27</v>
      </c>
      <c r="F100" s="4" t="s">
        <v>11</v>
      </c>
      <c r="G100" s="4" t="s">
        <v>22</v>
      </c>
      <c r="H100" s="4" t="s">
        <v>25</v>
      </c>
      <c r="I100" s="4" t="s">
        <v>24</v>
      </c>
      <c r="J100" s="5">
        <v>2668</v>
      </c>
      <c r="K100" t="str">
        <f t="shared" si="2"/>
        <v>Oct</v>
      </c>
      <c r="L100">
        <f t="shared" si="3"/>
        <v>2024</v>
      </c>
    </row>
    <row r="101" spans="1:12" x14ac:dyDescent="0.45">
      <c r="A101" s="14">
        <v>45562</v>
      </c>
      <c r="B101" s="6">
        <v>1155</v>
      </c>
      <c r="C101" s="6">
        <v>20.92</v>
      </c>
      <c r="D101" s="6">
        <v>22</v>
      </c>
      <c r="E101" s="6" t="s">
        <v>27</v>
      </c>
      <c r="F101" s="6" t="s">
        <v>1</v>
      </c>
      <c r="G101" s="6" t="s">
        <v>16</v>
      </c>
      <c r="H101" s="6" t="s">
        <v>31</v>
      </c>
      <c r="I101" s="6" t="s">
        <v>21</v>
      </c>
      <c r="J101" s="7">
        <v>896</v>
      </c>
      <c r="K101" t="str">
        <f t="shared" si="2"/>
        <v>Sep</v>
      </c>
      <c r="L101">
        <f t="shared" si="3"/>
        <v>2024</v>
      </c>
    </row>
    <row r="102" spans="1:12" x14ac:dyDescent="0.45">
      <c r="A102" s="13">
        <v>45762</v>
      </c>
      <c r="B102" s="4">
        <v>2279</v>
      </c>
      <c r="C102" s="4">
        <v>194.60000000000002</v>
      </c>
      <c r="D102" s="4">
        <v>23</v>
      </c>
      <c r="E102" s="4" t="s">
        <v>29</v>
      </c>
      <c r="F102" s="4" t="s">
        <v>11</v>
      </c>
      <c r="G102" s="4" t="s">
        <v>12</v>
      </c>
      <c r="H102" s="4" t="s">
        <v>31</v>
      </c>
      <c r="I102" s="4" t="s">
        <v>34</v>
      </c>
      <c r="J102" s="5">
        <v>2124</v>
      </c>
      <c r="K102" t="str">
        <f t="shared" si="2"/>
        <v>Apr</v>
      </c>
      <c r="L102">
        <f t="shared" si="3"/>
        <v>2025</v>
      </c>
    </row>
    <row r="103" spans="1:12" x14ac:dyDescent="0.45">
      <c r="A103" s="14">
        <v>45725</v>
      </c>
      <c r="B103" s="6">
        <v>719</v>
      </c>
      <c r="C103" s="6">
        <v>146.65</v>
      </c>
      <c r="D103" s="6">
        <v>23</v>
      </c>
      <c r="E103" s="6" t="s">
        <v>29</v>
      </c>
      <c r="F103" s="6" t="s">
        <v>11</v>
      </c>
      <c r="G103" s="6" t="s">
        <v>16</v>
      </c>
      <c r="H103" s="6" t="s">
        <v>28</v>
      </c>
      <c r="I103" s="6" t="s">
        <v>14</v>
      </c>
      <c r="J103" s="7">
        <v>3480</v>
      </c>
      <c r="K103" t="str">
        <f t="shared" si="2"/>
        <v>Mar</v>
      </c>
      <c r="L103">
        <f t="shared" si="3"/>
        <v>2025</v>
      </c>
    </row>
    <row r="104" spans="1:12" x14ac:dyDescent="0.45">
      <c r="A104" s="13">
        <v>45655</v>
      </c>
      <c r="B104" s="4">
        <v>2232</v>
      </c>
      <c r="C104" s="4">
        <v>40.14</v>
      </c>
      <c r="D104" s="4">
        <v>23</v>
      </c>
      <c r="E104" s="4" t="s">
        <v>29</v>
      </c>
      <c r="F104" s="4" t="s">
        <v>11</v>
      </c>
      <c r="G104" s="4" t="s">
        <v>22</v>
      </c>
      <c r="H104" s="4" t="s">
        <v>20</v>
      </c>
      <c r="I104" s="4" t="s">
        <v>14</v>
      </c>
      <c r="J104" s="5">
        <v>1085</v>
      </c>
      <c r="K104" t="str">
        <f t="shared" si="2"/>
        <v>Dec</v>
      </c>
      <c r="L104">
        <f t="shared" si="3"/>
        <v>2024</v>
      </c>
    </row>
    <row r="105" spans="1:12" x14ac:dyDescent="0.45">
      <c r="A105" s="14">
        <v>45649</v>
      </c>
      <c r="B105" s="6">
        <v>2128</v>
      </c>
      <c r="C105" s="6">
        <v>19.740000000000002</v>
      </c>
      <c r="D105" s="6">
        <v>23</v>
      </c>
      <c r="E105" s="6" t="s">
        <v>10</v>
      </c>
      <c r="F105" s="6" t="s">
        <v>15</v>
      </c>
      <c r="G105" s="6" t="s">
        <v>12</v>
      </c>
      <c r="H105" s="6" t="s">
        <v>28</v>
      </c>
      <c r="I105" s="6" t="s">
        <v>14</v>
      </c>
      <c r="J105" s="7">
        <v>1336</v>
      </c>
      <c r="K105" t="str">
        <f t="shared" si="2"/>
        <v>Dec</v>
      </c>
      <c r="L105">
        <f t="shared" si="3"/>
        <v>2024</v>
      </c>
    </row>
    <row r="106" spans="1:12" x14ac:dyDescent="0.45">
      <c r="A106" s="13">
        <v>45617</v>
      </c>
      <c r="B106" s="4">
        <v>2879</v>
      </c>
      <c r="C106" s="4">
        <v>229.45000000000002</v>
      </c>
      <c r="D106" s="4">
        <v>23</v>
      </c>
      <c r="E106" s="4" t="s">
        <v>10</v>
      </c>
      <c r="F106" s="4" t="s">
        <v>1</v>
      </c>
      <c r="G106" s="4" t="s">
        <v>30</v>
      </c>
      <c r="H106" s="4" t="s">
        <v>32</v>
      </c>
      <c r="I106" s="4" t="s">
        <v>14</v>
      </c>
      <c r="J106" s="5">
        <v>1701</v>
      </c>
      <c r="K106" t="str">
        <f t="shared" si="2"/>
        <v>Nov</v>
      </c>
      <c r="L106">
        <f t="shared" si="3"/>
        <v>2024</v>
      </c>
    </row>
    <row r="107" spans="1:12" x14ac:dyDescent="0.45">
      <c r="A107" s="14">
        <v>45706</v>
      </c>
      <c r="B107" s="6">
        <v>1252</v>
      </c>
      <c r="C107" s="6">
        <v>12.34</v>
      </c>
      <c r="D107" s="6">
        <v>23</v>
      </c>
      <c r="E107" s="6" t="s">
        <v>19</v>
      </c>
      <c r="F107" s="6" t="s">
        <v>11</v>
      </c>
      <c r="G107" s="6" t="s">
        <v>22</v>
      </c>
      <c r="H107" s="6" t="s">
        <v>37</v>
      </c>
      <c r="I107" s="6" t="s">
        <v>26</v>
      </c>
      <c r="J107" s="7">
        <v>4192</v>
      </c>
      <c r="K107" t="str">
        <f t="shared" si="2"/>
        <v>Feb</v>
      </c>
      <c r="L107">
        <f t="shared" si="3"/>
        <v>2025</v>
      </c>
    </row>
    <row r="108" spans="1:12" x14ac:dyDescent="0.45">
      <c r="A108" s="13">
        <v>45571</v>
      </c>
      <c r="B108" s="4">
        <v>1407</v>
      </c>
      <c r="C108" s="4">
        <v>215.8</v>
      </c>
      <c r="D108" s="4">
        <v>23</v>
      </c>
      <c r="E108" s="4" t="s">
        <v>27</v>
      </c>
      <c r="F108" s="4" t="s">
        <v>11</v>
      </c>
      <c r="G108" s="4" t="s">
        <v>30</v>
      </c>
      <c r="H108" s="4" t="s">
        <v>23</v>
      </c>
      <c r="I108" s="4" t="s">
        <v>21</v>
      </c>
      <c r="J108" s="5">
        <v>1240</v>
      </c>
      <c r="K108" t="str">
        <f t="shared" si="2"/>
        <v>Oct</v>
      </c>
      <c r="L108">
        <f t="shared" si="3"/>
        <v>2024</v>
      </c>
    </row>
    <row r="109" spans="1:12" x14ac:dyDescent="0.45">
      <c r="A109" s="14">
        <v>45546</v>
      </c>
      <c r="B109" s="6">
        <v>568</v>
      </c>
      <c r="C109" s="6">
        <v>220.65</v>
      </c>
      <c r="D109" s="6">
        <v>23</v>
      </c>
      <c r="E109" s="6" t="s">
        <v>27</v>
      </c>
      <c r="F109" s="6" t="s">
        <v>11</v>
      </c>
      <c r="G109" s="6" t="s">
        <v>16</v>
      </c>
      <c r="H109" s="6" t="s">
        <v>31</v>
      </c>
      <c r="I109" s="6" t="s">
        <v>34</v>
      </c>
      <c r="J109" s="7">
        <v>3170</v>
      </c>
      <c r="K109" t="str">
        <f t="shared" si="2"/>
        <v>Sep</v>
      </c>
      <c r="L109">
        <f t="shared" si="3"/>
        <v>2024</v>
      </c>
    </row>
    <row r="110" spans="1:12" x14ac:dyDescent="0.45">
      <c r="A110" s="13">
        <v>45795</v>
      </c>
      <c r="B110" s="4">
        <v>3684</v>
      </c>
      <c r="C110" s="4">
        <v>203.60000000000002</v>
      </c>
      <c r="D110" s="4">
        <v>24</v>
      </c>
      <c r="E110" s="4" t="s">
        <v>29</v>
      </c>
      <c r="F110" s="4" t="s">
        <v>15</v>
      </c>
      <c r="G110" s="4" t="s">
        <v>22</v>
      </c>
      <c r="H110" s="4" t="s">
        <v>13</v>
      </c>
      <c r="I110" s="4" t="s">
        <v>18</v>
      </c>
      <c r="J110" s="5">
        <v>1738</v>
      </c>
      <c r="K110" t="str">
        <f t="shared" si="2"/>
        <v>May</v>
      </c>
      <c r="L110">
        <f t="shared" si="3"/>
        <v>2025</v>
      </c>
    </row>
    <row r="111" spans="1:12" x14ac:dyDescent="0.45">
      <c r="A111" s="14">
        <v>45778</v>
      </c>
      <c r="B111" s="6">
        <v>566</v>
      </c>
      <c r="C111" s="6">
        <v>182.70000000000002</v>
      </c>
      <c r="D111" s="6">
        <v>24</v>
      </c>
      <c r="E111" s="6" t="s">
        <v>29</v>
      </c>
      <c r="F111" s="6" t="s">
        <v>1</v>
      </c>
      <c r="G111" s="6" t="s">
        <v>16</v>
      </c>
      <c r="H111" s="6" t="s">
        <v>20</v>
      </c>
      <c r="I111" s="6" t="s">
        <v>18</v>
      </c>
      <c r="J111" s="7">
        <v>775</v>
      </c>
      <c r="K111" t="str">
        <f t="shared" si="2"/>
        <v>May</v>
      </c>
      <c r="L111">
        <f t="shared" si="3"/>
        <v>2025</v>
      </c>
    </row>
    <row r="112" spans="1:12" x14ac:dyDescent="0.45">
      <c r="A112" s="13">
        <v>45663</v>
      </c>
      <c r="B112" s="4">
        <v>2940</v>
      </c>
      <c r="C112" s="4">
        <v>37.800000000000004</v>
      </c>
      <c r="D112" s="4">
        <v>24</v>
      </c>
      <c r="E112" s="4" t="s">
        <v>29</v>
      </c>
      <c r="F112" s="4" t="s">
        <v>15</v>
      </c>
      <c r="G112" s="4" t="s">
        <v>30</v>
      </c>
      <c r="H112" s="4" t="s">
        <v>28</v>
      </c>
      <c r="I112" s="4" t="s">
        <v>18</v>
      </c>
      <c r="J112" s="5">
        <v>3447</v>
      </c>
      <c r="K112" t="str">
        <f t="shared" si="2"/>
        <v>Jan</v>
      </c>
      <c r="L112">
        <f t="shared" si="3"/>
        <v>2025</v>
      </c>
    </row>
    <row r="113" spans="1:12" x14ac:dyDescent="0.45">
      <c r="A113" s="14">
        <v>45575</v>
      </c>
      <c r="B113" s="6">
        <v>2946</v>
      </c>
      <c r="C113" s="6">
        <v>17.580000000000002</v>
      </c>
      <c r="D113" s="6">
        <v>24</v>
      </c>
      <c r="E113" s="6" t="s">
        <v>29</v>
      </c>
      <c r="F113" s="6" t="s">
        <v>15</v>
      </c>
      <c r="G113" s="6" t="s">
        <v>30</v>
      </c>
      <c r="H113" s="6" t="s">
        <v>38</v>
      </c>
      <c r="I113" s="6" t="s">
        <v>24</v>
      </c>
      <c r="J113" s="7">
        <v>3691</v>
      </c>
      <c r="K113" t="str">
        <f t="shared" si="2"/>
        <v>Oct</v>
      </c>
      <c r="L113">
        <f t="shared" si="3"/>
        <v>2024</v>
      </c>
    </row>
    <row r="114" spans="1:12" x14ac:dyDescent="0.45">
      <c r="A114" s="13">
        <v>45552</v>
      </c>
      <c r="B114" s="4">
        <v>2838</v>
      </c>
      <c r="C114" s="4">
        <v>16.46</v>
      </c>
      <c r="D114" s="4">
        <v>24</v>
      </c>
      <c r="E114" s="4" t="s">
        <v>29</v>
      </c>
      <c r="F114" s="4" t="s">
        <v>11</v>
      </c>
      <c r="G114" s="4" t="s">
        <v>22</v>
      </c>
      <c r="H114" s="4" t="s">
        <v>38</v>
      </c>
      <c r="I114" s="4" t="s">
        <v>14</v>
      </c>
      <c r="J114" s="5">
        <v>1232</v>
      </c>
      <c r="K114" t="str">
        <f t="shared" si="2"/>
        <v>Sep</v>
      </c>
      <c r="L114">
        <f t="shared" si="3"/>
        <v>2024</v>
      </c>
    </row>
    <row r="115" spans="1:12" x14ac:dyDescent="0.45">
      <c r="A115" s="14">
        <v>45744</v>
      </c>
      <c r="B115" s="6">
        <v>2037</v>
      </c>
      <c r="C115" s="6">
        <v>47.06</v>
      </c>
      <c r="D115" s="6">
        <v>24</v>
      </c>
      <c r="E115" s="6" t="s">
        <v>10</v>
      </c>
      <c r="F115" s="6" t="s">
        <v>15</v>
      </c>
      <c r="G115" s="6" t="s">
        <v>22</v>
      </c>
      <c r="H115" s="6" t="s">
        <v>13</v>
      </c>
      <c r="I115" s="6" t="s">
        <v>24</v>
      </c>
      <c r="J115" s="7">
        <v>3146</v>
      </c>
      <c r="K115" t="str">
        <f t="shared" si="2"/>
        <v>Mar</v>
      </c>
      <c r="L115">
        <f t="shared" si="3"/>
        <v>2025</v>
      </c>
    </row>
    <row r="116" spans="1:12" x14ac:dyDescent="0.45">
      <c r="A116" s="13">
        <v>45727</v>
      </c>
      <c r="B116" s="4">
        <v>2553</v>
      </c>
      <c r="C116" s="4">
        <v>152.35</v>
      </c>
      <c r="D116" s="4">
        <v>24</v>
      </c>
      <c r="E116" s="4" t="s">
        <v>10</v>
      </c>
      <c r="F116" s="4" t="s">
        <v>11</v>
      </c>
      <c r="G116" s="4" t="s">
        <v>16</v>
      </c>
      <c r="H116" s="4" t="s">
        <v>37</v>
      </c>
      <c r="I116" s="4" t="s">
        <v>26</v>
      </c>
      <c r="J116" s="5">
        <v>1186</v>
      </c>
      <c r="K116" t="str">
        <f t="shared" si="2"/>
        <v>Mar</v>
      </c>
      <c r="L116">
        <f t="shared" si="3"/>
        <v>2025</v>
      </c>
    </row>
    <row r="117" spans="1:12" x14ac:dyDescent="0.45">
      <c r="A117" s="14">
        <v>45713</v>
      </c>
      <c r="B117" s="6">
        <v>2788</v>
      </c>
      <c r="C117" s="6">
        <v>21.240000000000002</v>
      </c>
      <c r="D117" s="6">
        <v>24</v>
      </c>
      <c r="E117" s="6" t="s">
        <v>10</v>
      </c>
      <c r="F117" s="6" t="s">
        <v>11</v>
      </c>
      <c r="G117" s="6" t="s">
        <v>16</v>
      </c>
      <c r="H117" s="6" t="s">
        <v>23</v>
      </c>
      <c r="I117" s="6" t="s">
        <v>26</v>
      </c>
      <c r="J117" s="7">
        <v>1322</v>
      </c>
      <c r="K117" t="str">
        <f t="shared" si="2"/>
        <v>Feb</v>
      </c>
      <c r="L117">
        <f t="shared" si="3"/>
        <v>2025</v>
      </c>
    </row>
    <row r="118" spans="1:12" x14ac:dyDescent="0.45">
      <c r="A118" s="13">
        <v>45456</v>
      </c>
      <c r="B118" s="4">
        <v>2519</v>
      </c>
      <c r="C118" s="4">
        <v>222.8</v>
      </c>
      <c r="D118" s="4">
        <v>24</v>
      </c>
      <c r="E118" s="4" t="s">
        <v>19</v>
      </c>
      <c r="F118" s="4" t="s">
        <v>15</v>
      </c>
      <c r="G118" s="4" t="s">
        <v>30</v>
      </c>
      <c r="H118" s="4" t="s">
        <v>35</v>
      </c>
      <c r="I118" s="4" t="s">
        <v>24</v>
      </c>
      <c r="J118" s="5">
        <v>965</v>
      </c>
      <c r="K118" t="str">
        <f t="shared" si="2"/>
        <v>Jun</v>
      </c>
      <c r="L118">
        <f t="shared" si="3"/>
        <v>2024</v>
      </c>
    </row>
    <row r="119" spans="1:12" x14ac:dyDescent="0.45">
      <c r="A119" s="14">
        <v>45485</v>
      </c>
      <c r="B119" s="6">
        <v>2041</v>
      </c>
      <c r="C119" s="6">
        <v>216</v>
      </c>
      <c r="D119" s="6">
        <v>24</v>
      </c>
      <c r="E119" s="6" t="s">
        <v>27</v>
      </c>
      <c r="F119" s="6" t="s">
        <v>11</v>
      </c>
      <c r="G119" s="6" t="s">
        <v>22</v>
      </c>
      <c r="H119" s="6" t="s">
        <v>17</v>
      </c>
      <c r="I119" s="6" t="s">
        <v>14</v>
      </c>
      <c r="J119" s="7">
        <v>558</v>
      </c>
      <c r="K119" t="str">
        <f t="shared" si="2"/>
        <v>Jul</v>
      </c>
      <c r="L119">
        <f t="shared" si="3"/>
        <v>2024</v>
      </c>
    </row>
    <row r="120" spans="1:12" x14ac:dyDescent="0.45">
      <c r="A120" s="13">
        <v>45480</v>
      </c>
      <c r="B120" s="4">
        <v>570</v>
      </c>
      <c r="C120" s="4">
        <v>199.75</v>
      </c>
      <c r="D120" s="4">
        <v>24</v>
      </c>
      <c r="E120" s="4" t="s">
        <v>27</v>
      </c>
      <c r="F120" s="4" t="s">
        <v>15</v>
      </c>
      <c r="G120" s="4" t="s">
        <v>22</v>
      </c>
      <c r="H120" s="4" t="s">
        <v>17</v>
      </c>
      <c r="I120" s="4" t="s">
        <v>14</v>
      </c>
      <c r="J120" s="5">
        <v>4060</v>
      </c>
      <c r="K120" t="str">
        <f t="shared" si="2"/>
        <v>Jul</v>
      </c>
      <c r="L120">
        <f t="shared" si="3"/>
        <v>2024</v>
      </c>
    </row>
    <row r="121" spans="1:12" x14ac:dyDescent="0.45">
      <c r="A121" s="14">
        <v>45752</v>
      </c>
      <c r="B121" s="6">
        <v>3987</v>
      </c>
      <c r="C121" s="6">
        <v>11.86</v>
      </c>
      <c r="D121" s="6">
        <v>25</v>
      </c>
      <c r="E121" s="6" t="s">
        <v>29</v>
      </c>
      <c r="F121" s="6" t="s">
        <v>11</v>
      </c>
      <c r="G121" s="6" t="s">
        <v>30</v>
      </c>
      <c r="H121" s="6" t="s">
        <v>13</v>
      </c>
      <c r="I121" s="6" t="s">
        <v>14</v>
      </c>
      <c r="J121" s="7">
        <v>590</v>
      </c>
      <c r="K121" t="str">
        <f t="shared" si="2"/>
        <v>Apr</v>
      </c>
      <c r="L121">
        <f t="shared" si="3"/>
        <v>2025</v>
      </c>
    </row>
    <row r="122" spans="1:12" x14ac:dyDescent="0.45">
      <c r="A122" s="13">
        <v>45696</v>
      </c>
      <c r="B122" s="4">
        <v>1677</v>
      </c>
      <c r="C122" s="4">
        <v>25.62</v>
      </c>
      <c r="D122" s="4">
        <v>25</v>
      </c>
      <c r="E122" s="4" t="s">
        <v>10</v>
      </c>
      <c r="F122" s="4" t="s">
        <v>1</v>
      </c>
      <c r="G122" s="4" t="s">
        <v>12</v>
      </c>
      <c r="H122" s="4" t="s">
        <v>13</v>
      </c>
      <c r="I122" s="4" t="s">
        <v>14</v>
      </c>
      <c r="J122" s="5">
        <v>4114</v>
      </c>
      <c r="K122" t="str">
        <f t="shared" si="2"/>
        <v>Feb</v>
      </c>
      <c r="L122">
        <f t="shared" si="3"/>
        <v>2025</v>
      </c>
    </row>
    <row r="123" spans="1:12" x14ac:dyDescent="0.45">
      <c r="A123" s="14">
        <v>45623</v>
      </c>
      <c r="B123" s="6">
        <v>856</v>
      </c>
      <c r="C123" s="6">
        <v>216.20000000000002</v>
      </c>
      <c r="D123" s="6">
        <v>25</v>
      </c>
      <c r="E123" s="6" t="s">
        <v>10</v>
      </c>
      <c r="F123" s="6" t="s">
        <v>1</v>
      </c>
      <c r="G123" s="6" t="s">
        <v>12</v>
      </c>
      <c r="H123" s="6" t="s">
        <v>36</v>
      </c>
      <c r="I123" s="6" t="s">
        <v>34</v>
      </c>
      <c r="J123" s="7">
        <v>3578</v>
      </c>
      <c r="K123" t="str">
        <f t="shared" si="2"/>
        <v>Nov</v>
      </c>
      <c r="L123">
        <f t="shared" si="3"/>
        <v>2024</v>
      </c>
    </row>
    <row r="124" spans="1:12" x14ac:dyDescent="0.45">
      <c r="A124" s="13">
        <v>45607</v>
      </c>
      <c r="B124" s="4">
        <v>2761</v>
      </c>
      <c r="C124" s="4">
        <v>31.7</v>
      </c>
      <c r="D124" s="4">
        <v>25</v>
      </c>
      <c r="E124" s="4" t="s">
        <v>10</v>
      </c>
      <c r="F124" s="4" t="s">
        <v>1</v>
      </c>
      <c r="G124" s="4" t="s">
        <v>12</v>
      </c>
      <c r="H124" s="4" t="s">
        <v>31</v>
      </c>
      <c r="I124" s="4" t="s">
        <v>24</v>
      </c>
      <c r="J124" s="5">
        <v>3804</v>
      </c>
      <c r="K124" t="str">
        <f t="shared" si="2"/>
        <v>Nov</v>
      </c>
      <c r="L124">
        <f t="shared" si="3"/>
        <v>2024</v>
      </c>
    </row>
    <row r="125" spans="1:12" x14ac:dyDescent="0.45">
      <c r="A125" s="14">
        <v>45599</v>
      </c>
      <c r="B125" s="6">
        <v>2787</v>
      </c>
      <c r="C125" s="6">
        <v>12.42</v>
      </c>
      <c r="D125" s="6">
        <v>25</v>
      </c>
      <c r="E125" s="6" t="s">
        <v>10</v>
      </c>
      <c r="F125" s="6" t="s">
        <v>11</v>
      </c>
      <c r="G125" s="6" t="s">
        <v>12</v>
      </c>
      <c r="H125" s="6" t="s">
        <v>36</v>
      </c>
      <c r="I125" s="6" t="s">
        <v>34</v>
      </c>
      <c r="J125" s="7">
        <v>1470</v>
      </c>
      <c r="K125" t="str">
        <f t="shared" si="2"/>
        <v>Nov</v>
      </c>
      <c r="L125">
        <f t="shared" si="3"/>
        <v>2024</v>
      </c>
    </row>
    <row r="126" spans="1:12" x14ac:dyDescent="0.45">
      <c r="A126" s="13">
        <v>45519</v>
      </c>
      <c r="B126" s="4">
        <v>1107</v>
      </c>
      <c r="C126" s="4">
        <v>128</v>
      </c>
      <c r="D126" s="4">
        <v>25</v>
      </c>
      <c r="E126" s="4" t="s">
        <v>10</v>
      </c>
      <c r="F126" s="4" t="s">
        <v>15</v>
      </c>
      <c r="G126" s="4" t="s">
        <v>12</v>
      </c>
      <c r="H126" s="4" t="s">
        <v>28</v>
      </c>
      <c r="I126" s="4" t="s">
        <v>18</v>
      </c>
      <c r="J126" s="5">
        <v>2129</v>
      </c>
      <c r="K126" t="str">
        <f t="shared" si="2"/>
        <v>Aug</v>
      </c>
      <c r="L126">
        <f t="shared" si="3"/>
        <v>2024</v>
      </c>
    </row>
    <row r="127" spans="1:12" x14ac:dyDescent="0.45">
      <c r="A127" s="14">
        <v>45697</v>
      </c>
      <c r="B127" s="6">
        <v>886</v>
      </c>
      <c r="C127" s="6">
        <v>141.75</v>
      </c>
      <c r="D127" s="6">
        <v>25</v>
      </c>
      <c r="E127" s="6" t="s">
        <v>19</v>
      </c>
      <c r="F127" s="6" t="s">
        <v>11</v>
      </c>
      <c r="G127" s="6" t="s">
        <v>22</v>
      </c>
      <c r="H127" s="6" t="s">
        <v>17</v>
      </c>
      <c r="I127" s="6" t="s">
        <v>34</v>
      </c>
      <c r="J127" s="7">
        <v>904</v>
      </c>
      <c r="K127" t="str">
        <f t="shared" si="2"/>
        <v>Feb</v>
      </c>
      <c r="L127">
        <f t="shared" si="3"/>
        <v>2025</v>
      </c>
    </row>
    <row r="128" spans="1:12" x14ac:dyDescent="0.45">
      <c r="A128" s="13">
        <v>45677</v>
      </c>
      <c r="B128" s="4">
        <v>2411</v>
      </c>
      <c r="C128" s="4">
        <v>168.8</v>
      </c>
      <c r="D128" s="4">
        <v>25</v>
      </c>
      <c r="E128" s="4" t="s">
        <v>27</v>
      </c>
      <c r="F128" s="4" t="s">
        <v>11</v>
      </c>
      <c r="G128" s="4" t="s">
        <v>12</v>
      </c>
      <c r="H128" s="4" t="s">
        <v>13</v>
      </c>
      <c r="I128" s="4" t="s">
        <v>18</v>
      </c>
      <c r="J128" s="5">
        <v>3681</v>
      </c>
      <c r="K128" t="str">
        <f t="shared" si="2"/>
        <v>Jan</v>
      </c>
      <c r="L128">
        <f t="shared" si="3"/>
        <v>2025</v>
      </c>
    </row>
    <row r="129" spans="1:12" x14ac:dyDescent="0.45">
      <c r="A129" s="14">
        <v>45500</v>
      </c>
      <c r="B129" s="6">
        <v>2457</v>
      </c>
      <c r="C129" s="6">
        <v>191.4</v>
      </c>
      <c r="D129" s="6">
        <v>25</v>
      </c>
      <c r="E129" s="6" t="s">
        <v>27</v>
      </c>
      <c r="F129" s="6" t="s">
        <v>15</v>
      </c>
      <c r="G129" s="6" t="s">
        <v>16</v>
      </c>
      <c r="H129" s="6" t="s">
        <v>37</v>
      </c>
      <c r="I129" s="6" t="s">
        <v>26</v>
      </c>
      <c r="J129" s="7">
        <v>3517</v>
      </c>
      <c r="K129" t="str">
        <f t="shared" si="2"/>
        <v>Jul</v>
      </c>
      <c r="L129">
        <f t="shared" si="3"/>
        <v>2024</v>
      </c>
    </row>
    <row r="130" spans="1:12" x14ac:dyDescent="0.45">
      <c r="A130" s="13">
        <v>45486</v>
      </c>
      <c r="B130" s="4">
        <v>1623</v>
      </c>
      <c r="C130" s="4">
        <v>25.78</v>
      </c>
      <c r="D130" s="4">
        <v>25</v>
      </c>
      <c r="E130" s="4" t="s">
        <v>27</v>
      </c>
      <c r="F130" s="4" t="s">
        <v>1</v>
      </c>
      <c r="G130" s="4" t="s">
        <v>30</v>
      </c>
      <c r="H130" s="4" t="s">
        <v>31</v>
      </c>
      <c r="I130" s="4" t="s">
        <v>18</v>
      </c>
      <c r="J130" s="5">
        <v>2999</v>
      </c>
      <c r="K130" t="str">
        <f t="shared" si="2"/>
        <v>Jul</v>
      </c>
      <c r="L130">
        <f t="shared" si="3"/>
        <v>2024</v>
      </c>
    </row>
    <row r="131" spans="1:12" x14ac:dyDescent="0.45">
      <c r="A131" s="14">
        <v>45757</v>
      </c>
      <c r="B131" s="6">
        <v>2963</v>
      </c>
      <c r="C131" s="6">
        <v>212.4</v>
      </c>
      <c r="D131" s="6">
        <v>26</v>
      </c>
      <c r="E131" s="6" t="s">
        <v>29</v>
      </c>
      <c r="F131" s="6" t="s">
        <v>11</v>
      </c>
      <c r="G131" s="6" t="s">
        <v>16</v>
      </c>
      <c r="H131" s="6" t="s">
        <v>17</v>
      </c>
      <c r="I131" s="6" t="s">
        <v>26</v>
      </c>
      <c r="J131" s="7">
        <v>1745</v>
      </c>
      <c r="K131" t="str">
        <f t="shared" ref="K131:K194" si="4">TEXT(A131,"mmm")</f>
        <v>Apr</v>
      </c>
      <c r="L131">
        <f t="shared" ref="L131:L194" si="5">YEAR(A131)</f>
        <v>2025</v>
      </c>
    </row>
    <row r="132" spans="1:12" x14ac:dyDescent="0.45">
      <c r="A132" s="13">
        <v>45691</v>
      </c>
      <c r="B132" s="4">
        <v>2545</v>
      </c>
      <c r="C132" s="4">
        <v>223</v>
      </c>
      <c r="D132" s="4">
        <v>26</v>
      </c>
      <c r="E132" s="4" t="s">
        <v>29</v>
      </c>
      <c r="F132" s="4" t="s">
        <v>1</v>
      </c>
      <c r="G132" s="4" t="s">
        <v>22</v>
      </c>
      <c r="H132" s="4" t="s">
        <v>35</v>
      </c>
      <c r="I132" s="4" t="s">
        <v>24</v>
      </c>
      <c r="J132" s="5">
        <v>776</v>
      </c>
      <c r="K132" t="str">
        <f t="shared" si="4"/>
        <v>Feb</v>
      </c>
      <c r="L132">
        <f t="shared" si="5"/>
        <v>2025</v>
      </c>
    </row>
    <row r="133" spans="1:12" x14ac:dyDescent="0.45">
      <c r="A133" s="14">
        <v>45603</v>
      </c>
      <c r="B133" s="6">
        <v>537</v>
      </c>
      <c r="C133" s="6">
        <v>141.30000000000001</v>
      </c>
      <c r="D133" s="6">
        <v>26</v>
      </c>
      <c r="E133" s="6" t="s">
        <v>29</v>
      </c>
      <c r="F133" s="6" t="s">
        <v>11</v>
      </c>
      <c r="G133" s="6" t="s">
        <v>12</v>
      </c>
      <c r="H133" s="6" t="s">
        <v>32</v>
      </c>
      <c r="I133" s="6" t="s">
        <v>26</v>
      </c>
      <c r="J133" s="7">
        <v>1469</v>
      </c>
      <c r="K133" t="str">
        <f t="shared" si="4"/>
        <v>Nov</v>
      </c>
      <c r="L133">
        <f t="shared" si="5"/>
        <v>2024</v>
      </c>
    </row>
    <row r="134" spans="1:12" x14ac:dyDescent="0.45">
      <c r="A134" s="13">
        <v>45559</v>
      </c>
      <c r="B134" s="4">
        <v>3305</v>
      </c>
      <c r="C134" s="4">
        <v>24.64</v>
      </c>
      <c r="D134" s="4">
        <v>26</v>
      </c>
      <c r="E134" s="4" t="s">
        <v>29</v>
      </c>
      <c r="F134" s="4" t="s">
        <v>1</v>
      </c>
      <c r="G134" s="4" t="s">
        <v>16</v>
      </c>
      <c r="H134" s="4" t="s">
        <v>25</v>
      </c>
      <c r="I134" s="4" t="s">
        <v>14</v>
      </c>
      <c r="J134" s="5">
        <v>1569</v>
      </c>
      <c r="K134" t="str">
        <f t="shared" si="4"/>
        <v>Sep</v>
      </c>
      <c r="L134">
        <f t="shared" si="5"/>
        <v>2024</v>
      </c>
    </row>
    <row r="135" spans="1:12" x14ac:dyDescent="0.45">
      <c r="A135" s="14">
        <v>45549</v>
      </c>
      <c r="B135" s="6">
        <v>2588</v>
      </c>
      <c r="C135" s="6">
        <v>240.10000000000002</v>
      </c>
      <c r="D135" s="6">
        <v>26</v>
      </c>
      <c r="E135" s="6" t="s">
        <v>29</v>
      </c>
      <c r="F135" s="6" t="s">
        <v>15</v>
      </c>
      <c r="G135" s="6" t="s">
        <v>16</v>
      </c>
      <c r="H135" s="6" t="s">
        <v>31</v>
      </c>
      <c r="I135" s="6" t="s">
        <v>24</v>
      </c>
      <c r="J135" s="7">
        <v>2859</v>
      </c>
      <c r="K135" t="str">
        <f t="shared" si="4"/>
        <v>Sep</v>
      </c>
      <c r="L135">
        <f t="shared" si="5"/>
        <v>2024</v>
      </c>
    </row>
    <row r="136" spans="1:12" x14ac:dyDescent="0.45">
      <c r="A136" s="13">
        <v>45522</v>
      </c>
      <c r="B136" s="4">
        <v>1283</v>
      </c>
      <c r="C136" s="4">
        <v>214.70000000000002</v>
      </c>
      <c r="D136" s="4">
        <v>26</v>
      </c>
      <c r="E136" s="4" t="s">
        <v>29</v>
      </c>
      <c r="F136" s="4" t="s">
        <v>11</v>
      </c>
      <c r="G136" s="4" t="s">
        <v>12</v>
      </c>
      <c r="H136" s="4" t="s">
        <v>33</v>
      </c>
      <c r="I136" s="4" t="s">
        <v>18</v>
      </c>
      <c r="J136" s="5">
        <v>935</v>
      </c>
      <c r="K136" t="str">
        <f t="shared" si="4"/>
        <v>Aug</v>
      </c>
      <c r="L136">
        <f t="shared" si="5"/>
        <v>2024</v>
      </c>
    </row>
    <row r="137" spans="1:12" x14ac:dyDescent="0.45">
      <c r="A137" s="14">
        <v>45464</v>
      </c>
      <c r="B137" s="6">
        <v>2217</v>
      </c>
      <c r="C137" s="6">
        <v>126.30000000000001</v>
      </c>
      <c r="D137" s="6">
        <v>26</v>
      </c>
      <c r="E137" s="6" t="s">
        <v>29</v>
      </c>
      <c r="F137" s="6" t="s">
        <v>15</v>
      </c>
      <c r="G137" s="6" t="s">
        <v>22</v>
      </c>
      <c r="H137" s="6" t="s">
        <v>28</v>
      </c>
      <c r="I137" s="6" t="s">
        <v>34</v>
      </c>
      <c r="J137" s="7">
        <v>903</v>
      </c>
      <c r="K137" t="str">
        <f t="shared" si="4"/>
        <v>Jun</v>
      </c>
      <c r="L137">
        <f t="shared" si="5"/>
        <v>2024</v>
      </c>
    </row>
    <row r="138" spans="1:12" x14ac:dyDescent="0.45">
      <c r="A138" s="13">
        <v>45799</v>
      </c>
      <c r="B138" s="4">
        <v>2740</v>
      </c>
      <c r="C138" s="4">
        <v>41.68</v>
      </c>
      <c r="D138" s="4">
        <v>26</v>
      </c>
      <c r="E138" s="4" t="s">
        <v>10</v>
      </c>
      <c r="F138" s="4" t="s">
        <v>11</v>
      </c>
      <c r="G138" s="4" t="s">
        <v>12</v>
      </c>
      <c r="H138" s="4" t="s">
        <v>13</v>
      </c>
      <c r="I138" s="4" t="s">
        <v>34</v>
      </c>
      <c r="J138" s="5">
        <v>2293</v>
      </c>
      <c r="K138" t="str">
        <f t="shared" si="4"/>
        <v>May</v>
      </c>
      <c r="L138">
        <f t="shared" si="5"/>
        <v>2025</v>
      </c>
    </row>
    <row r="139" spans="1:12" x14ac:dyDescent="0.45">
      <c r="A139" s="14">
        <v>45723</v>
      </c>
      <c r="B139" s="6">
        <v>1034</v>
      </c>
      <c r="C139" s="6">
        <v>42.94</v>
      </c>
      <c r="D139" s="6">
        <v>26</v>
      </c>
      <c r="E139" s="6" t="s">
        <v>10</v>
      </c>
      <c r="F139" s="6" t="s">
        <v>15</v>
      </c>
      <c r="G139" s="6" t="s">
        <v>30</v>
      </c>
      <c r="H139" s="6" t="s">
        <v>35</v>
      </c>
      <c r="I139" s="6" t="s">
        <v>14</v>
      </c>
      <c r="J139" s="7">
        <v>3855</v>
      </c>
      <c r="K139" t="str">
        <f t="shared" si="4"/>
        <v>Mar</v>
      </c>
      <c r="L139">
        <f t="shared" si="5"/>
        <v>2025</v>
      </c>
    </row>
    <row r="140" spans="1:12" x14ac:dyDescent="0.45">
      <c r="A140" s="13">
        <v>45667</v>
      </c>
      <c r="B140" s="4">
        <v>2383</v>
      </c>
      <c r="C140" s="4">
        <v>38.300000000000004</v>
      </c>
      <c r="D140" s="4">
        <v>26</v>
      </c>
      <c r="E140" s="4" t="s">
        <v>10</v>
      </c>
      <c r="F140" s="4" t="s">
        <v>11</v>
      </c>
      <c r="G140" s="4" t="s">
        <v>30</v>
      </c>
      <c r="H140" s="4" t="s">
        <v>20</v>
      </c>
      <c r="I140" s="4" t="s">
        <v>21</v>
      </c>
      <c r="J140" s="5">
        <v>3539</v>
      </c>
      <c r="K140" t="str">
        <f t="shared" si="4"/>
        <v>Jan</v>
      </c>
      <c r="L140">
        <f t="shared" si="5"/>
        <v>2025</v>
      </c>
    </row>
    <row r="141" spans="1:12" x14ac:dyDescent="0.45">
      <c r="A141" s="14">
        <v>45768</v>
      </c>
      <c r="B141" s="6">
        <v>2261</v>
      </c>
      <c r="C141" s="6">
        <v>129.15</v>
      </c>
      <c r="D141" s="6">
        <v>26</v>
      </c>
      <c r="E141" s="6" t="s">
        <v>19</v>
      </c>
      <c r="F141" s="6" t="s">
        <v>1</v>
      </c>
      <c r="G141" s="6" t="s">
        <v>30</v>
      </c>
      <c r="H141" s="6" t="s">
        <v>25</v>
      </c>
      <c r="I141" s="6" t="s">
        <v>24</v>
      </c>
      <c r="J141" s="7">
        <v>2805</v>
      </c>
      <c r="K141" t="str">
        <f t="shared" si="4"/>
        <v>Apr</v>
      </c>
      <c r="L141">
        <f t="shared" si="5"/>
        <v>2025</v>
      </c>
    </row>
    <row r="142" spans="1:12" x14ac:dyDescent="0.45">
      <c r="A142" s="13">
        <v>45656</v>
      </c>
      <c r="B142" s="4">
        <v>2085</v>
      </c>
      <c r="C142" s="4">
        <v>13.22</v>
      </c>
      <c r="D142" s="4">
        <v>26</v>
      </c>
      <c r="E142" s="4" t="s">
        <v>19</v>
      </c>
      <c r="F142" s="4" t="s">
        <v>11</v>
      </c>
      <c r="G142" s="4" t="s">
        <v>12</v>
      </c>
      <c r="H142" s="4" t="s">
        <v>32</v>
      </c>
      <c r="I142" s="4" t="s">
        <v>34</v>
      </c>
      <c r="J142" s="5">
        <v>4225</v>
      </c>
      <c r="K142" t="str">
        <f t="shared" si="4"/>
        <v>Dec</v>
      </c>
      <c r="L142">
        <f t="shared" si="5"/>
        <v>2024</v>
      </c>
    </row>
    <row r="143" spans="1:12" x14ac:dyDescent="0.45">
      <c r="A143" s="14">
        <v>45514</v>
      </c>
      <c r="B143" s="6">
        <v>789</v>
      </c>
      <c r="C143" s="6">
        <v>29.52</v>
      </c>
      <c r="D143" s="6">
        <v>26</v>
      </c>
      <c r="E143" s="6" t="s">
        <v>27</v>
      </c>
      <c r="F143" s="6" t="s">
        <v>15</v>
      </c>
      <c r="G143" s="6" t="s">
        <v>16</v>
      </c>
      <c r="H143" s="6" t="s">
        <v>35</v>
      </c>
      <c r="I143" s="6" t="s">
        <v>18</v>
      </c>
      <c r="J143" s="7">
        <v>3209</v>
      </c>
      <c r="K143" t="str">
        <f t="shared" si="4"/>
        <v>Aug</v>
      </c>
      <c r="L143">
        <f t="shared" si="5"/>
        <v>2024</v>
      </c>
    </row>
    <row r="144" spans="1:12" x14ac:dyDescent="0.45">
      <c r="A144" s="13">
        <v>45477</v>
      </c>
      <c r="B144" s="4">
        <v>1817</v>
      </c>
      <c r="C144" s="4">
        <v>155</v>
      </c>
      <c r="D144" s="4">
        <v>26</v>
      </c>
      <c r="E144" s="4" t="s">
        <v>27</v>
      </c>
      <c r="F144" s="4" t="s">
        <v>11</v>
      </c>
      <c r="G144" s="4" t="s">
        <v>30</v>
      </c>
      <c r="H144" s="4" t="s">
        <v>33</v>
      </c>
      <c r="I144" s="4" t="s">
        <v>34</v>
      </c>
      <c r="J144" s="5">
        <v>2950</v>
      </c>
      <c r="K144" t="str">
        <f t="shared" si="4"/>
        <v>Jul</v>
      </c>
      <c r="L144">
        <f t="shared" si="5"/>
        <v>2024</v>
      </c>
    </row>
    <row r="145" spans="1:12" x14ac:dyDescent="0.45">
      <c r="A145" s="14">
        <v>45774</v>
      </c>
      <c r="B145" s="6">
        <v>535</v>
      </c>
      <c r="C145" s="6">
        <v>11.46</v>
      </c>
      <c r="D145" s="6">
        <v>27</v>
      </c>
      <c r="E145" s="6" t="s">
        <v>29</v>
      </c>
      <c r="F145" s="6" t="s">
        <v>11</v>
      </c>
      <c r="G145" s="6" t="s">
        <v>16</v>
      </c>
      <c r="H145" s="6" t="s">
        <v>17</v>
      </c>
      <c r="I145" s="6" t="s">
        <v>24</v>
      </c>
      <c r="J145" s="7">
        <v>2790</v>
      </c>
      <c r="K145" t="str">
        <f t="shared" si="4"/>
        <v>Apr</v>
      </c>
      <c r="L145">
        <f t="shared" si="5"/>
        <v>2025</v>
      </c>
    </row>
    <row r="146" spans="1:12" x14ac:dyDescent="0.45">
      <c r="A146" s="13">
        <v>45712</v>
      </c>
      <c r="B146" s="4">
        <v>1441</v>
      </c>
      <c r="C146" s="4">
        <v>228.60000000000002</v>
      </c>
      <c r="D146" s="4">
        <v>27</v>
      </c>
      <c r="E146" s="4" t="s">
        <v>29</v>
      </c>
      <c r="F146" s="4" t="s">
        <v>1</v>
      </c>
      <c r="G146" s="4" t="s">
        <v>22</v>
      </c>
      <c r="H146" s="4" t="s">
        <v>13</v>
      </c>
      <c r="I146" s="4" t="s">
        <v>21</v>
      </c>
      <c r="J146" s="5">
        <v>906</v>
      </c>
      <c r="K146" t="str">
        <f t="shared" si="4"/>
        <v>Feb</v>
      </c>
      <c r="L146">
        <f t="shared" si="5"/>
        <v>2025</v>
      </c>
    </row>
    <row r="147" spans="1:12" x14ac:dyDescent="0.45">
      <c r="A147" s="14">
        <v>45660</v>
      </c>
      <c r="B147" s="6">
        <v>1372</v>
      </c>
      <c r="C147" s="6">
        <v>178.5</v>
      </c>
      <c r="D147" s="6">
        <v>27</v>
      </c>
      <c r="E147" s="6" t="s">
        <v>29</v>
      </c>
      <c r="F147" s="6" t="s">
        <v>11</v>
      </c>
      <c r="G147" s="6" t="s">
        <v>16</v>
      </c>
      <c r="H147" s="6" t="s">
        <v>23</v>
      </c>
      <c r="I147" s="6" t="s">
        <v>24</v>
      </c>
      <c r="J147" s="7">
        <v>3374</v>
      </c>
      <c r="K147" t="str">
        <f t="shared" si="4"/>
        <v>Jan</v>
      </c>
      <c r="L147">
        <f t="shared" si="5"/>
        <v>2025</v>
      </c>
    </row>
    <row r="148" spans="1:12" x14ac:dyDescent="0.45">
      <c r="A148" s="13">
        <v>45536</v>
      </c>
      <c r="B148" s="4">
        <v>1959</v>
      </c>
      <c r="C148" s="4">
        <v>201.3</v>
      </c>
      <c r="D148" s="4">
        <v>27</v>
      </c>
      <c r="E148" s="4" t="s">
        <v>29</v>
      </c>
      <c r="F148" s="4" t="s">
        <v>15</v>
      </c>
      <c r="G148" s="4" t="s">
        <v>22</v>
      </c>
      <c r="H148" s="4" t="s">
        <v>17</v>
      </c>
      <c r="I148" s="4" t="s">
        <v>26</v>
      </c>
      <c r="J148" s="5">
        <v>993</v>
      </c>
      <c r="K148" t="str">
        <f t="shared" si="4"/>
        <v>Sep</v>
      </c>
      <c r="L148">
        <f t="shared" si="5"/>
        <v>2024</v>
      </c>
    </row>
    <row r="149" spans="1:12" x14ac:dyDescent="0.45">
      <c r="A149" s="14">
        <v>45657</v>
      </c>
      <c r="B149" s="6">
        <v>3504</v>
      </c>
      <c r="C149" s="6">
        <v>29.42</v>
      </c>
      <c r="D149" s="6">
        <v>27</v>
      </c>
      <c r="E149" s="6" t="s">
        <v>10</v>
      </c>
      <c r="F149" s="6" t="s">
        <v>11</v>
      </c>
      <c r="G149" s="6" t="s">
        <v>16</v>
      </c>
      <c r="H149" s="6" t="s">
        <v>33</v>
      </c>
      <c r="I149" s="6" t="s">
        <v>14</v>
      </c>
      <c r="J149" s="7">
        <v>1111</v>
      </c>
      <c r="K149" t="str">
        <f t="shared" si="4"/>
        <v>Dec</v>
      </c>
      <c r="L149">
        <f t="shared" si="5"/>
        <v>2024</v>
      </c>
    </row>
    <row r="150" spans="1:12" x14ac:dyDescent="0.45">
      <c r="A150" s="13">
        <v>45475</v>
      </c>
      <c r="B150" s="4">
        <v>1676</v>
      </c>
      <c r="C150" s="4">
        <v>153.60000000000002</v>
      </c>
      <c r="D150" s="4">
        <v>27</v>
      </c>
      <c r="E150" s="4" t="s">
        <v>10</v>
      </c>
      <c r="F150" s="4" t="s">
        <v>11</v>
      </c>
      <c r="G150" s="4" t="s">
        <v>16</v>
      </c>
      <c r="H150" s="4" t="s">
        <v>37</v>
      </c>
      <c r="I150" s="4" t="s">
        <v>26</v>
      </c>
      <c r="J150" s="5">
        <v>2229</v>
      </c>
      <c r="K150" t="str">
        <f t="shared" si="4"/>
        <v>Jul</v>
      </c>
      <c r="L150">
        <f t="shared" si="5"/>
        <v>2024</v>
      </c>
    </row>
    <row r="151" spans="1:12" x14ac:dyDescent="0.45">
      <c r="A151" s="14">
        <v>45640</v>
      </c>
      <c r="B151" s="6">
        <v>3067</v>
      </c>
      <c r="C151" s="6">
        <v>18.740000000000002</v>
      </c>
      <c r="D151" s="6">
        <v>27</v>
      </c>
      <c r="E151" s="6" t="s">
        <v>19</v>
      </c>
      <c r="F151" s="6" t="s">
        <v>11</v>
      </c>
      <c r="G151" s="6" t="s">
        <v>16</v>
      </c>
      <c r="H151" s="6" t="s">
        <v>31</v>
      </c>
      <c r="I151" s="6" t="s">
        <v>26</v>
      </c>
      <c r="J151" s="7">
        <v>1001</v>
      </c>
      <c r="K151" t="str">
        <f t="shared" si="4"/>
        <v>Dec</v>
      </c>
      <c r="L151">
        <f t="shared" si="5"/>
        <v>2024</v>
      </c>
    </row>
    <row r="152" spans="1:12" x14ac:dyDescent="0.45">
      <c r="A152" s="13">
        <v>45602</v>
      </c>
      <c r="B152" s="4">
        <v>1040</v>
      </c>
      <c r="C152" s="4">
        <v>238.60000000000002</v>
      </c>
      <c r="D152" s="4">
        <v>27</v>
      </c>
      <c r="E152" s="4" t="s">
        <v>19</v>
      </c>
      <c r="F152" s="4" t="s">
        <v>1</v>
      </c>
      <c r="G152" s="4" t="s">
        <v>16</v>
      </c>
      <c r="H152" s="4" t="s">
        <v>31</v>
      </c>
      <c r="I152" s="4" t="s">
        <v>24</v>
      </c>
      <c r="J152" s="5">
        <v>4165</v>
      </c>
      <c r="K152" t="str">
        <f t="shared" si="4"/>
        <v>Nov</v>
      </c>
      <c r="L152">
        <f t="shared" si="5"/>
        <v>2024</v>
      </c>
    </row>
    <row r="153" spans="1:12" x14ac:dyDescent="0.45">
      <c r="A153" s="14">
        <v>45765</v>
      </c>
      <c r="B153" s="6">
        <v>1163</v>
      </c>
      <c r="C153" s="6">
        <v>29.92</v>
      </c>
      <c r="D153" s="6">
        <v>27</v>
      </c>
      <c r="E153" s="6" t="s">
        <v>27</v>
      </c>
      <c r="F153" s="6" t="s">
        <v>11</v>
      </c>
      <c r="G153" s="6" t="s">
        <v>16</v>
      </c>
      <c r="H153" s="6" t="s">
        <v>23</v>
      </c>
      <c r="I153" s="6" t="s">
        <v>34</v>
      </c>
      <c r="J153" s="7">
        <v>772</v>
      </c>
      <c r="K153" t="str">
        <f t="shared" si="4"/>
        <v>Apr</v>
      </c>
      <c r="L153">
        <f t="shared" si="5"/>
        <v>2025</v>
      </c>
    </row>
    <row r="154" spans="1:12" x14ac:dyDescent="0.45">
      <c r="A154" s="13">
        <v>45548</v>
      </c>
      <c r="B154" s="4">
        <v>2682</v>
      </c>
      <c r="C154" s="4">
        <v>193.9</v>
      </c>
      <c r="D154" s="4">
        <v>27</v>
      </c>
      <c r="E154" s="4" t="s">
        <v>27</v>
      </c>
      <c r="F154" s="4" t="s">
        <v>15</v>
      </c>
      <c r="G154" s="4" t="s">
        <v>22</v>
      </c>
      <c r="H154" s="4" t="s">
        <v>33</v>
      </c>
      <c r="I154" s="4" t="s">
        <v>18</v>
      </c>
      <c r="J154" s="5">
        <v>1447</v>
      </c>
      <c r="K154" t="str">
        <f t="shared" si="4"/>
        <v>Sep</v>
      </c>
      <c r="L154">
        <f t="shared" si="5"/>
        <v>2024</v>
      </c>
    </row>
    <row r="155" spans="1:12" x14ac:dyDescent="0.45">
      <c r="A155" s="14">
        <v>45455</v>
      </c>
      <c r="B155" s="6">
        <v>1152</v>
      </c>
      <c r="C155" s="6">
        <v>140.35</v>
      </c>
      <c r="D155" s="6">
        <v>27</v>
      </c>
      <c r="E155" s="6" t="s">
        <v>27</v>
      </c>
      <c r="F155" s="6" t="s">
        <v>1</v>
      </c>
      <c r="G155" s="6" t="s">
        <v>16</v>
      </c>
      <c r="H155" s="6" t="s">
        <v>37</v>
      </c>
      <c r="I155" s="6" t="s">
        <v>14</v>
      </c>
      <c r="J155" s="7">
        <v>4014</v>
      </c>
      <c r="K155" t="str">
        <f t="shared" si="4"/>
        <v>Jun</v>
      </c>
      <c r="L155">
        <f t="shared" si="5"/>
        <v>2024</v>
      </c>
    </row>
    <row r="156" spans="1:12" x14ac:dyDescent="0.45">
      <c r="A156" s="13">
        <v>45468</v>
      </c>
      <c r="B156" s="4">
        <v>2940</v>
      </c>
      <c r="C156" s="4">
        <v>18.86</v>
      </c>
      <c r="D156" s="4">
        <v>28</v>
      </c>
      <c r="E156" s="4" t="s">
        <v>10</v>
      </c>
      <c r="F156" s="4" t="s">
        <v>15</v>
      </c>
      <c r="G156" s="4" t="s">
        <v>30</v>
      </c>
      <c r="H156" s="4" t="s">
        <v>32</v>
      </c>
      <c r="I156" s="4" t="s">
        <v>34</v>
      </c>
      <c r="J156" s="5">
        <v>3879</v>
      </c>
      <c r="K156" t="str">
        <f t="shared" si="4"/>
        <v>Jun</v>
      </c>
      <c r="L156">
        <f t="shared" si="5"/>
        <v>2024</v>
      </c>
    </row>
    <row r="157" spans="1:12" x14ac:dyDescent="0.45">
      <c r="A157" s="14">
        <v>45642</v>
      </c>
      <c r="B157" s="6">
        <v>1217</v>
      </c>
      <c r="C157" s="6">
        <v>17.080000000000002</v>
      </c>
      <c r="D157" s="6">
        <v>28</v>
      </c>
      <c r="E157" s="6" t="s">
        <v>19</v>
      </c>
      <c r="F157" s="6" t="s">
        <v>15</v>
      </c>
      <c r="G157" s="6" t="s">
        <v>16</v>
      </c>
      <c r="H157" s="6" t="s">
        <v>33</v>
      </c>
      <c r="I157" s="6" t="s">
        <v>34</v>
      </c>
      <c r="J157" s="7">
        <v>2954</v>
      </c>
      <c r="K157" t="str">
        <f t="shared" si="4"/>
        <v>Dec</v>
      </c>
      <c r="L157">
        <f t="shared" si="5"/>
        <v>2024</v>
      </c>
    </row>
    <row r="158" spans="1:12" x14ac:dyDescent="0.45">
      <c r="A158" s="13">
        <v>45796</v>
      </c>
      <c r="B158" s="4">
        <v>2958</v>
      </c>
      <c r="C158" s="4">
        <v>176.85000000000002</v>
      </c>
      <c r="D158" s="4">
        <v>28</v>
      </c>
      <c r="E158" s="4" t="s">
        <v>27</v>
      </c>
      <c r="F158" s="4" t="s">
        <v>11</v>
      </c>
      <c r="G158" s="4" t="s">
        <v>22</v>
      </c>
      <c r="H158" s="4" t="s">
        <v>33</v>
      </c>
      <c r="I158" s="4" t="s">
        <v>26</v>
      </c>
      <c r="J158" s="5">
        <v>1020</v>
      </c>
      <c r="K158" t="str">
        <f t="shared" si="4"/>
        <v>May</v>
      </c>
      <c r="L158">
        <f t="shared" si="5"/>
        <v>2025</v>
      </c>
    </row>
    <row r="159" spans="1:12" x14ac:dyDescent="0.45">
      <c r="A159" s="14">
        <v>45792</v>
      </c>
      <c r="B159" s="6">
        <v>2675</v>
      </c>
      <c r="C159" s="6">
        <v>201.05</v>
      </c>
      <c r="D159" s="6">
        <v>29</v>
      </c>
      <c r="E159" s="6" t="s">
        <v>29</v>
      </c>
      <c r="F159" s="6" t="s">
        <v>11</v>
      </c>
      <c r="G159" s="6" t="s">
        <v>12</v>
      </c>
      <c r="H159" s="6" t="s">
        <v>33</v>
      </c>
      <c r="I159" s="6" t="s">
        <v>14</v>
      </c>
      <c r="J159" s="7">
        <v>1474</v>
      </c>
      <c r="K159" t="str">
        <f t="shared" si="4"/>
        <v>May</v>
      </c>
      <c r="L159">
        <f t="shared" si="5"/>
        <v>2025</v>
      </c>
    </row>
    <row r="160" spans="1:12" x14ac:dyDescent="0.45">
      <c r="A160" s="13">
        <v>45739</v>
      </c>
      <c r="B160" s="4">
        <v>2679</v>
      </c>
      <c r="C160" s="4">
        <v>186.15</v>
      </c>
      <c r="D160" s="4">
        <v>29</v>
      </c>
      <c r="E160" s="4" t="s">
        <v>29</v>
      </c>
      <c r="F160" s="4" t="s">
        <v>1</v>
      </c>
      <c r="G160" s="4" t="s">
        <v>12</v>
      </c>
      <c r="H160" s="4" t="s">
        <v>20</v>
      </c>
      <c r="I160" s="4" t="s">
        <v>24</v>
      </c>
      <c r="J160" s="5">
        <v>2868</v>
      </c>
      <c r="K160" t="str">
        <f t="shared" si="4"/>
        <v>Mar</v>
      </c>
      <c r="L160">
        <f t="shared" si="5"/>
        <v>2025</v>
      </c>
    </row>
    <row r="161" spans="1:12" x14ac:dyDescent="0.45">
      <c r="A161" s="14">
        <v>45798</v>
      </c>
      <c r="B161" s="6">
        <v>3299</v>
      </c>
      <c r="C161" s="6">
        <v>30.88</v>
      </c>
      <c r="D161" s="6">
        <v>29</v>
      </c>
      <c r="E161" s="6" t="s">
        <v>10</v>
      </c>
      <c r="F161" s="6" t="s">
        <v>15</v>
      </c>
      <c r="G161" s="6" t="s">
        <v>30</v>
      </c>
      <c r="H161" s="6" t="s">
        <v>32</v>
      </c>
      <c r="I161" s="6" t="s">
        <v>24</v>
      </c>
      <c r="J161" s="7">
        <v>4174</v>
      </c>
      <c r="K161" t="str">
        <f t="shared" si="4"/>
        <v>May</v>
      </c>
      <c r="L161">
        <f t="shared" si="5"/>
        <v>2025</v>
      </c>
    </row>
    <row r="162" spans="1:12" x14ac:dyDescent="0.45">
      <c r="A162" s="13">
        <v>45785</v>
      </c>
      <c r="B162" s="4">
        <v>2945</v>
      </c>
      <c r="C162" s="4">
        <v>18.18</v>
      </c>
      <c r="D162" s="4">
        <v>29</v>
      </c>
      <c r="E162" s="4" t="s">
        <v>10</v>
      </c>
      <c r="F162" s="4" t="s">
        <v>11</v>
      </c>
      <c r="G162" s="4" t="s">
        <v>12</v>
      </c>
      <c r="H162" s="4" t="s">
        <v>35</v>
      </c>
      <c r="I162" s="4" t="s">
        <v>26</v>
      </c>
      <c r="J162" s="5">
        <v>4276</v>
      </c>
      <c r="K162" t="str">
        <f t="shared" si="4"/>
        <v>May</v>
      </c>
      <c r="L162">
        <f t="shared" si="5"/>
        <v>2025</v>
      </c>
    </row>
    <row r="163" spans="1:12" x14ac:dyDescent="0.45">
      <c r="A163" s="14">
        <v>45586</v>
      </c>
      <c r="B163" s="6">
        <v>1305</v>
      </c>
      <c r="C163" s="6">
        <v>235.60000000000002</v>
      </c>
      <c r="D163" s="6">
        <v>29</v>
      </c>
      <c r="E163" s="6" t="s">
        <v>19</v>
      </c>
      <c r="F163" s="6" t="s">
        <v>1</v>
      </c>
      <c r="G163" s="6" t="s">
        <v>12</v>
      </c>
      <c r="H163" s="6" t="s">
        <v>33</v>
      </c>
      <c r="I163" s="6" t="s">
        <v>34</v>
      </c>
      <c r="J163" s="7">
        <v>3090</v>
      </c>
      <c r="K163" t="str">
        <f t="shared" si="4"/>
        <v>Oct</v>
      </c>
      <c r="L163">
        <f t="shared" si="5"/>
        <v>2024</v>
      </c>
    </row>
    <row r="164" spans="1:12" x14ac:dyDescent="0.45">
      <c r="A164" s="13">
        <v>45794</v>
      </c>
      <c r="B164" s="4">
        <v>633</v>
      </c>
      <c r="C164" s="4">
        <v>203.65</v>
      </c>
      <c r="D164" s="4">
        <v>30</v>
      </c>
      <c r="E164" s="4" t="s">
        <v>29</v>
      </c>
      <c r="F164" s="4" t="s">
        <v>11</v>
      </c>
      <c r="G164" s="4" t="s">
        <v>22</v>
      </c>
      <c r="H164" s="4" t="s">
        <v>25</v>
      </c>
      <c r="I164" s="4" t="s">
        <v>14</v>
      </c>
      <c r="J164" s="5">
        <v>4048</v>
      </c>
      <c r="K164" t="str">
        <f t="shared" si="4"/>
        <v>May</v>
      </c>
      <c r="L164">
        <f t="shared" si="5"/>
        <v>2025</v>
      </c>
    </row>
    <row r="165" spans="1:12" x14ac:dyDescent="0.45">
      <c r="A165" s="14">
        <v>45755</v>
      </c>
      <c r="B165" s="6">
        <v>2366</v>
      </c>
      <c r="C165" s="6">
        <v>131.55000000000001</v>
      </c>
      <c r="D165" s="6">
        <v>30</v>
      </c>
      <c r="E165" s="6" t="s">
        <v>29</v>
      </c>
      <c r="F165" s="6" t="s">
        <v>15</v>
      </c>
      <c r="G165" s="6" t="s">
        <v>16</v>
      </c>
      <c r="H165" s="6" t="s">
        <v>13</v>
      </c>
      <c r="I165" s="6" t="s">
        <v>18</v>
      </c>
      <c r="J165" s="7">
        <v>2905</v>
      </c>
      <c r="K165" t="str">
        <f t="shared" si="4"/>
        <v>Apr</v>
      </c>
      <c r="L165">
        <f t="shared" si="5"/>
        <v>2025</v>
      </c>
    </row>
    <row r="166" spans="1:12" x14ac:dyDescent="0.45">
      <c r="A166" s="13">
        <v>45654</v>
      </c>
      <c r="B166" s="4">
        <v>677</v>
      </c>
      <c r="C166" s="4">
        <v>236.3</v>
      </c>
      <c r="D166" s="4">
        <v>30</v>
      </c>
      <c r="E166" s="4" t="s">
        <v>29</v>
      </c>
      <c r="F166" s="4" t="s">
        <v>11</v>
      </c>
      <c r="G166" s="4" t="s">
        <v>22</v>
      </c>
      <c r="H166" s="4" t="s">
        <v>25</v>
      </c>
      <c r="I166" s="4" t="s">
        <v>14</v>
      </c>
      <c r="J166" s="5">
        <v>3495</v>
      </c>
      <c r="K166" t="str">
        <f t="shared" si="4"/>
        <v>Dec</v>
      </c>
      <c r="L166">
        <f t="shared" si="5"/>
        <v>2024</v>
      </c>
    </row>
    <row r="167" spans="1:12" x14ac:dyDescent="0.45">
      <c r="A167" s="14">
        <v>45573</v>
      </c>
      <c r="B167" s="6">
        <v>2291</v>
      </c>
      <c r="C167" s="6">
        <v>149.95000000000002</v>
      </c>
      <c r="D167" s="6">
        <v>30</v>
      </c>
      <c r="E167" s="6" t="s">
        <v>29</v>
      </c>
      <c r="F167" s="6" t="s">
        <v>1</v>
      </c>
      <c r="G167" s="6" t="s">
        <v>22</v>
      </c>
      <c r="H167" s="6" t="s">
        <v>37</v>
      </c>
      <c r="I167" s="6" t="s">
        <v>26</v>
      </c>
      <c r="J167" s="7">
        <v>2060</v>
      </c>
      <c r="K167" t="str">
        <f t="shared" si="4"/>
        <v>Oct</v>
      </c>
      <c r="L167">
        <f t="shared" si="5"/>
        <v>2024</v>
      </c>
    </row>
    <row r="168" spans="1:12" x14ac:dyDescent="0.45">
      <c r="A168" s="13">
        <v>45612</v>
      </c>
      <c r="B168" s="4">
        <v>1981</v>
      </c>
      <c r="C168" s="4">
        <v>28.66</v>
      </c>
      <c r="D168" s="4">
        <v>30</v>
      </c>
      <c r="E168" s="4" t="s">
        <v>10</v>
      </c>
      <c r="F168" s="4" t="s">
        <v>1</v>
      </c>
      <c r="G168" s="4" t="s">
        <v>30</v>
      </c>
      <c r="H168" s="4" t="s">
        <v>37</v>
      </c>
      <c r="I168" s="4" t="s">
        <v>14</v>
      </c>
      <c r="J168" s="5">
        <v>3321</v>
      </c>
      <c r="K168" t="str">
        <f t="shared" si="4"/>
        <v>Nov</v>
      </c>
      <c r="L168">
        <f t="shared" si="5"/>
        <v>2024</v>
      </c>
    </row>
    <row r="169" spans="1:12" x14ac:dyDescent="0.45">
      <c r="A169" s="14">
        <v>45587</v>
      </c>
      <c r="B169" s="6">
        <v>928</v>
      </c>
      <c r="C169" s="6">
        <v>129.20000000000002</v>
      </c>
      <c r="D169" s="6">
        <v>30</v>
      </c>
      <c r="E169" s="6" t="s">
        <v>10</v>
      </c>
      <c r="F169" s="6" t="s">
        <v>11</v>
      </c>
      <c r="G169" s="6" t="s">
        <v>12</v>
      </c>
      <c r="H169" s="6" t="s">
        <v>23</v>
      </c>
      <c r="I169" s="6" t="s">
        <v>18</v>
      </c>
      <c r="J169" s="7">
        <v>1207</v>
      </c>
      <c r="K169" t="str">
        <f t="shared" si="4"/>
        <v>Oct</v>
      </c>
      <c r="L169">
        <f t="shared" si="5"/>
        <v>2024</v>
      </c>
    </row>
    <row r="170" spans="1:12" x14ac:dyDescent="0.45">
      <c r="A170" s="13">
        <v>45769</v>
      </c>
      <c r="B170" s="4">
        <v>3564</v>
      </c>
      <c r="C170" s="4">
        <v>37.880000000000003</v>
      </c>
      <c r="D170" s="4">
        <v>30</v>
      </c>
      <c r="E170" s="4" t="s">
        <v>19</v>
      </c>
      <c r="F170" s="4" t="s">
        <v>1</v>
      </c>
      <c r="G170" s="4" t="s">
        <v>30</v>
      </c>
      <c r="H170" s="4" t="s">
        <v>17</v>
      </c>
      <c r="I170" s="4" t="s">
        <v>34</v>
      </c>
      <c r="J170" s="5">
        <v>3364</v>
      </c>
      <c r="K170" t="str">
        <f t="shared" si="4"/>
        <v>Apr</v>
      </c>
      <c r="L170">
        <f t="shared" si="5"/>
        <v>2025</v>
      </c>
    </row>
    <row r="171" spans="1:12" x14ac:dyDescent="0.45">
      <c r="A171" s="14">
        <v>45717</v>
      </c>
      <c r="B171" s="6">
        <v>3953</v>
      </c>
      <c r="C171" s="6">
        <v>47.02</v>
      </c>
      <c r="D171" s="6">
        <v>30</v>
      </c>
      <c r="E171" s="6" t="s">
        <v>19</v>
      </c>
      <c r="F171" s="6" t="s">
        <v>1</v>
      </c>
      <c r="G171" s="6" t="s">
        <v>16</v>
      </c>
      <c r="H171" s="6" t="s">
        <v>36</v>
      </c>
      <c r="I171" s="6" t="s">
        <v>14</v>
      </c>
      <c r="J171" s="7">
        <v>1486</v>
      </c>
      <c r="K171" t="str">
        <f t="shared" si="4"/>
        <v>Mar</v>
      </c>
      <c r="L171">
        <f t="shared" si="5"/>
        <v>2025</v>
      </c>
    </row>
    <row r="172" spans="1:12" x14ac:dyDescent="0.45">
      <c r="A172" s="13">
        <v>45532</v>
      </c>
      <c r="B172" s="4">
        <v>3272</v>
      </c>
      <c r="C172" s="4">
        <v>127.5</v>
      </c>
      <c r="D172" s="4">
        <v>30</v>
      </c>
      <c r="E172" s="4" t="s">
        <v>19</v>
      </c>
      <c r="F172" s="4" t="s">
        <v>15</v>
      </c>
      <c r="G172" s="4" t="s">
        <v>16</v>
      </c>
      <c r="H172" s="4" t="s">
        <v>17</v>
      </c>
      <c r="I172" s="4" t="s">
        <v>18</v>
      </c>
      <c r="J172" s="5">
        <v>3526</v>
      </c>
      <c r="K172" t="str">
        <f t="shared" si="4"/>
        <v>Aug</v>
      </c>
      <c r="L172">
        <f t="shared" si="5"/>
        <v>2024</v>
      </c>
    </row>
    <row r="173" spans="1:12" x14ac:dyDescent="0.45">
      <c r="A173" s="14">
        <v>45495</v>
      </c>
      <c r="B173" s="6">
        <v>952</v>
      </c>
      <c r="C173" s="6">
        <v>40.42</v>
      </c>
      <c r="D173" s="6">
        <v>30</v>
      </c>
      <c r="E173" s="6" t="s">
        <v>19</v>
      </c>
      <c r="F173" s="6" t="s">
        <v>15</v>
      </c>
      <c r="G173" s="6" t="s">
        <v>12</v>
      </c>
      <c r="H173" s="6" t="s">
        <v>31</v>
      </c>
      <c r="I173" s="6" t="s">
        <v>14</v>
      </c>
      <c r="J173" s="7">
        <v>3352</v>
      </c>
      <c r="K173" t="str">
        <f t="shared" si="4"/>
        <v>Jul</v>
      </c>
      <c r="L173">
        <f t="shared" si="5"/>
        <v>2024</v>
      </c>
    </row>
    <row r="174" spans="1:12" x14ac:dyDescent="0.45">
      <c r="A174" s="13">
        <v>45472</v>
      </c>
      <c r="B174" s="4">
        <v>3470</v>
      </c>
      <c r="C174" s="4">
        <v>145.25</v>
      </c>
      <c r="D174" s="4">
        <v>30</v>
      </c>
      <c r="E174" s="4" t="s">
        <v>19</v>
      </c>
      <c r="F174" s="4" t="s">
        <v>11</v>
      </c>
      <c r="G174" s="4" t="s">
        <v>30</v>
      </c>
      <c r="H174" s="4" t="s">
        <v>37</v>
      </c>
      <c r="I174" s="4" t="s">
        <v>21</v>
      </c>
      <c r="J174" s="5">
        <v>3686</v>
      </c>
      <c r="K174" t="str">
        <f t="shared" si="4"/>
        <v>Jun</v>
      </c>
      <c r="L174">
        <f t="shared" si="5"/>
        <v>2024</v>
      </c>
    </row>
    <row r="175" spans="1:12" x14ac:dyDescent="0.45">
      <c r="A175" s="14">
        <v>45624</v>
      </c>
      <c r="B175" s="6">
        <v>601</v>
      </c>
      <c r="C175" s="6">
        <v>192.75</v>
      </c>
      <c r="D175" s="6">
        <v>30</v>
      </c>
      <c r="E175" s="6" t="s">
        <v>27</v>
      </c>
      <c r="F175" s="6" t="s">
        <v>15</v>
      </c>
      <c r="G175" s="6" t="s">
        <v>22</v>
      </c>
      <c r="H175" s="6" t="s">
        <v>32</v>
      </c>
      <c r="I175" s="6" t="s">
        <v>21</v>
      </c>
      <c r="J175" s="7">
        <v>4172</v>
      </c>
      <c r="K175" t="str">
        <f t="shared" si="4"/>
        <v>Nov</v>
      </c>
      <c r="L175">
        <f t="shared" si="5"/>
        <v>2024</v>
      </c>
    </row>
    <row r="176" spans="1:12" x14ac:dyDescent="0.45">
      <c r="A176" s="13">
        <v>45539</v>
      </c>
      <c r="B176" s="4">
        <v>1235</v>
      </c>
      <c r="C176" s="4">
        <v>24.7</v>
      </c>
      <c r="D176" s="4">
        <v>30</v>
      </c>
      <c r="E176" s="4" t="s">
        <v>27</v>
      </c>
      <c r="F176" s="4" t="s">
        <v>11</v>
      </c>
      <c r="G176" s="4" t="s">
        <v>30</v>
      </c>
      <c r="H176" s="4" t="s">
        <v>35</v>
      </c>
      <c r="I176" s="4" t="s">
        <v>21</v>
      </c>
      <c r="J176" s="5">
        <v>3663</v>
      </c>
      <c r="K176" t="str">
        <f t="shared" si="4"/>
        <v>Sep</v>
      </c>
      <c r="L176">
        <f t="shared" si="5"/>
        <v>2024</v>
      </c>
    </row>
    <row r="177" spans="1:12" x14ac:dyDescent="0.45">
      <c r="A177" s="14">
        <v>45786</v>
      </c>
      <c r="B177" s="6">
        <v>3370</v>
      </c>
      <c r="C177" s="6">
        <v>26.52</v>
      </c>
      <c r="D177" s="6">
        <v>31</v>
      </c>
      <c r="E177" s="6" t="s">
        <v>29</v>
      </c>
      <c r="F177" s="6" t="s">
        <v>1</v>
      </c>
      <c r="G177" s="6" t="s">
        <v>30</v>
      </c>
      <c r="H177" s="6" t="s">
        <v>25</v>
      </c>
      <c r="I177" s="6" t="s">
        <v>34</v>
      </c>
      <c r="J177" s="7">
        <v>4172</v>
      </c>
      <c r="K177" t="str">
        <f t="shared" si="4"/>
        <v>May</v>
      </c>
      <c r="L177">
        <f t="shared" si="5"/>
        <v>2025</v>
      </c>
    </row>
    <row r="178" spans="1:12" x14ac:dyDescent="0.45">
      <c r="A178" s="13">
        <v>45608</v>
      </c>
      <c r="B178" s="4">
        <v>2752</v>
      </c>
      <c r="C178" s="4">
        <v>31.42</v>
      </c>
      <c r="D178" s="4">
        <v>31</v>
      </c>
      <c r="E178" s="4" t="s">
        <v>29</v>
      </c>
      <c r="F178" s="4" t="s">
        <v>1</v>
      </c>
      <c r="G178" s="4" t="s">
        <v>22</v>
      </c>
      <c r="H178" s="4" t="s">
        <v>25</v>
      </c>
      <c r="I178" s="4" t="s">
        <v>26</v>
      </c>
      <c r="J178" s="5">
        <v>2841</v>
      </c>
      <c r="K178" t="str">
        <f t="shared" si="4"/>
        <v>Nov</v>
      </c>
      <c r="L178">
        <f t="shared" si="5"/>
        <v>2024</v>
      </c>
    </row>
    <row r="179" spans="1:12" x14ac:dyDescent="0.45">
      <c r="A179" s="14">
        <v>45545</v>
      </c>
      <c r="B179" s="6">
        <v>3708</v>
      </c>
      <c r="C179" s="6">
        <v>127.15</v>
      </c>
      <c r="D179" s="6">
        <v>31</v>
      </c>
      <c r="E179" s="6" t="s">
        <v>29</v>
      </c>
      <c r="F179" s="6" t="s">
        <v>1</v>
      </c>
      <c r="G179" s="6" t="s">
        <v>30</v>
      </c>
      <c r="H179" s="6" t="s">
        <v>13</v>
      </c>
      <c r="I179" s="6" t="s">
        <v>18</v>
      </c>
      <c r="J179" s="7">
        <v>1270</v>
      </c>
      <c r="K179" t="str">
        <f t="shared" si="4"/>
        <v>Sep</v>
      </c>
      <c r="L179">
        <f t="shared" si="5"/>
        <v>2024</v>
      </c>
    </row>
    <row r="180" spans="1:12" x14ac:dyDescent="0.45">
      <c r="A180" s="13">
        <v>45615</v>
      </c>
      <c r="B180" s="4">
        <v>3018</v>
      </c>
      <c r="C180" s="4">
        <v>198</v>
      </c>
      <c r="D180" s="4">
        <v>31</v>
      </c>
      <c r="E180" s="4" t="s">
        <v>10</v>
      </c>
      <c r="F180" s="4" t="s">
        <v>15</v>
      </c>
      <c r="G180" s="4" t="s">
        <v>12</v>
      </c>
      <c r="H180" s="4" t="s">
        <v>32</v>
      </c>
      <c r="I180" s="4" t="s">
        <v>14</v>
      </c>
      <c r="J180" s="5">
        <v>3480</v>
      </c>
      <c r="K180" t="str">
        <f t="shared" si="4"/>
        <v>Nov</v>
      </c>
      <c r="L180">
        <f t="shared" si="5"/>
        <v>2024</v>
      </c>
    </row>
    <row r="181" spans="1:12" x14ac:dyDescent="0.45">
      <c r="A181" s="14">
        <v>45498</v>
      </c>
      <c r="B181" s="6">
        <v>1256</v>
      </c>
      <c r="C181" s="6">
        <v>220.4</v>
      </c>
      <c r="D181" s="6">
        <v>31</v>
      </c>
      <c r="E181" s="6" t="s">
        <v>10</v>
      </c>
      <c r="F181" s="6" t="s">
        <v>11</v>
      </c>
      <c r="G181" s="6" t="s">
        <v>30</v>
      </c>
      <c r="H181" s="6" t="s">
        <v>38</v>
      </c>
      <c r="I181" s="6" t="s">
        <v>26</v>
      </c>
      <c r="J181" s="7">
        <v>523</v>
      </c>
      <c r="K181" t="str">
        <f t="shared" si="4"/>
        <v>Jul</v>
      </c>
      <c r="L181">
        <f t="shared" si="5"/>
        <v>2024</v>
      </c>
    </row>
    <row r="182" spans="1:12" x14ac:dyDescent="0.45">
      <c r="A182" s="13">
        <v>45479</v>
      </c>
      <c r="B182" s="4">
        <v>959</v>
      </c>
      <c r="C182" s="4">
        <v>44.78</v>
      </c>
      <c r="D182" s="4">
        <v>31</v>
      </c>
      <c r="E182" s="4" t="s">
        <v>10</v>
      </c>
      <c r="F182" s="4" t="s">
        <v>11</v>
      </c>
      <c r="G182" s="4" t="s">
        <v>30</v>
      </c>
      <c r="H182" s="4" t="s">
        <v>20</v>
      </c>
      <c r="I182" s="4" t="s">
        <v>26</v>
      </c>
      <c r="J182" s="5">
        <v>4150</v>
      </c>
      <c r="K182" t="str">
        <f t="shared" si="4"/>
        <v>Jul</v>
      </c>
      <c r="L182">
        <f t="shared" si="5"/>
        <v>2024</v>
      </c>
    </row>
    <row r="183" spans="1:12" x14ac:dyDescent="0.45">
      <c r="A183" s="14">
        <v>45731</v>
      </c>
      <c r="B183" s="6">
        <v>3988</v>
      </c>
      <c r="C183" s="6">
        <v>42.22</v>
      </c>
      <c r="D183" s="6">
        <v>31</v>
      </c>
      <c r="E183" s="6" t="s">
        <v>19</v>
      </c>
      <c r="F183" s="6" t="s">
        <v>1</v>
      </c>
      <c r="G183" s="6" t="s">
        <v>22</v>
      </c>
      <c r="H183" s="6" t="s">
        <v>33</v>
      </c>
      <c r="I183" s="6" t="s">
        <v>24</v>
      </c>
      <c r="J183" s="7">
        <v>4143</v>
      </c>
      <c r="K183" t="str">
        <f t="shared" si="4"/>
        <v>Mar</v>
      </c>
      <c r="L183">
        <f t="shared" si="5"/>
        <v>2025</v>
      </c>
    </row>
    <row r="184" spans="1:12" x14ac:dyDescent="0.45">
      <c r="A184" s="13">
        <v>45672</v>
      </c>
      <c r="B184" s="4">
        <v>1509</v>
      </c>
      <c r="C184" s="4">
        <v>21</v>
      </c>
      <c r="D184" s="4">
        <v>31</v>
      </c>
      <c r="E184" s="4" t="s">
        <v>19</v>
      </c>
      <c r="F184" s="4" t="s">
        <v>11</v>
      </c>
      <c r="G184" s="4" t="s">
        <v>22</v>
      </c>
      <c r="H184" s="4" t="s">
        <v>36</v>
      </c>
      <c r="I184" s="4" t="s">
        <v>34</v>
      </c>
      <c r="J184" s="5">
        <v>1692</v>
      </c>
      <c r="K184" t="str">
        <f t="shared" si="4"/>
        <v>Jan</v>
      </c>
      <c r="L184">
        <f t="shared" si="5"/>
        <v>2025</v>
      </c>
    </row>
    <row r="185" spans="1:12" x14ac:dyDescent="0.45">
      <c r="A185" s="14">
        <v>45561</v>
      </c>
      <c r="B185" s="6">
        <v>1245</v>
      </c>
      <c r="C185" s="6">
        <v>136.4</v>
      </c>
      <c r="D185" s="6">
        <v>31</v>
      </c>
      <c r="E185" s="6" t="s">
        <v>19</v>
      </c>
      <c r="F185" s="6" t="s">
        <v>15</v>
      </c>
      <c r="G185" s="6" t="s">
        <v>30</v>
      </c>
      <c r="H185" s="6" t="s">
        <v>35</v>
      </c>
      <c r="I185" s="6" t="s">
        <v>18</v>
      </c>
      <c r="J185" s="7">
        <v>3810</v>
      </c>
      <c r="K185" t="str">
        <f t="shared" si="4"/>
        <v>Sep</v>
      </c>
      <c r="L185">
        <f t="shared" si="5"/>
        <v>2024</v>
      </c>
    </row>
    <row r="186" spans="1:12" x14ac:dyDescent="0.45">
      <c r="A186" s="13">
        <v>45518</v>
      </c>
      <c r="B186" s="4">
        <v>3102</v>
      </c>
      <c r="C186" s="4">
        <v>32.660000000000004</v>
      </c>
      <c r="D186" s="4">
        <v>31</v>
      </c>
      <c r="E186" s="4" t="s">
        <v>19</v>
      </c>
      <c r="F186" s="4" t="s">
        <v>1</v>
      </c>
      <c r="G186" s="4" t="s">
        <v>12</v>
      </c>
      <c r="H186" s="4" t="s">
        <v>23</v>
      </c>
      <c r="I186" s="4" t="s">
        <v>34</v>
      </c>
      <c r="J186" s="5">
        <v>920</v>
      </c>
      <c r="K186" t="str">
        <f t="shared" si="4"/>
        <v>Aug</v>
      </c>
      <c r="L186">
        <f t="shared" si="5"/>
        <v>2024</v>
      </c>
    </row>
    <row r="187" spans="1:12" x14ac:dyDescent="0.45">
      <c r="A187" s="14">
        <v>45543</v>
      </c>
      <c r="B187" s="6">
        <v>538</v>
      </c>
      <c r="C187" s="6">
        <v>186.95000000000002</v>
      </c>
      <c r="D187" s="6">
        <v>32</v>
      </c>
      <c r="E187" s="6" t="s">
        <v>29</v>
      </c>
      <c r="F187" s="6" t="s">
        <v>1</v>
      </c>
      <c r="G187" s="6" t="s">
        <v>22</v>
      </c>
      <c r="H187" s="6" t="s">
        <v>38</v>
      </c>
      <c r="I187" s="6" t="s">
        <v>26</v>
      </c>
      <c r="J187" s="7">
        <v>4285</v>
      </c>
      <c r="K187" t="str">
        <f t="shared" si="4"/>
        <v>Sep</v>
      </c>
      <c r="L187">
        <f t="shared" si="5"/>
        <v>2024</v>
      </c>
    </row>
    <row r="188" spans="1:12" x14ac:dyDescent="0.45">
      <c r="A188" s="13">
        <v>45721</v>
      </c>
      <c r="B188" s="4">
        <v>2178</v>
      </c>
      <c r="C188" s="4">
        <v>24.14</v>
      </c>
      <c r="D188" s="4">
        <v>32</v>
      </c>
      <c r="E188" s="4" t="s">
        <v>10</v>
      </c>
      <c r="F188" s="4" t="s">
        <v>15</v>
      </c>
      <c r="G188" s="4" t="s">
        <v>12</v>
      </c>
      <c r="H188" s="4" t="s">
        <v>20</v>
      </c>
      <c r="I188" s="4" t="s">
        <v>26</v>
      </c>
      <c r="J188" s="5">
        <v>3951</v>
      </c>
      <c r="K188" t="str">
        <f t="shared" si="4"/>
        <v>Mar</v>
      </c>
      <c r="L188">
        <f t="shared" si="5"/>
        <v>2025</v>
      </c>
    </row>
    <row r="189" spans="1:12" x14ac:dyDescent="0.45">
      <c r="A189" s="14">
        <v>45709</v>
      </c>
      <c r="B189" s="6">
        <v>1438</v>
      </c>
      <c r="C189" s="6">
        <v>208.3</v>
      </c>
      <c r="D189" s="6">
        <v>32</v>
      </c>
      <c r="E189" s="6" t="s">
        <v>10</v>
      </c>
      <c r="F189" s="6" t="s">
        <v>11</v>
      </c>
      <c r="G189" s="6" t="s">
        <v>22</v>
      </c>
      <c r="H189" s="6" t="s">
        <v>20</v>
      </c>
      <c r="I189" s="6" t="s">
        <v>14</v>
      </c>
      <c r="J189" s="7">
        <v>4286</v>
      </c>
      <c r="K189" t="str">
        <f t="shared" si="4"/>
        <v>Feb</v>
      </c>
      <c r="L189">
        <f t="shared" si="5"/>
        <v>2025</v>
      </c>
    </row>
    <row r="190" spans="1:12" x14ac:dyDescent="0.45">
      <c r="A190" s="13">
        <v>45708</v>
      </c>
      <c r="B190" s="4">
        <v>2699</v>
      </c>
      <c r="C190" s="4">
        <v>173.20000000000002</v>
      </c>
      <c r="D190" s="4">
        <v>32</v>
      </c>
      <c r="E190" s="4" t="s">
        <v>10</v>
      </c>
      <c r="F190" s="4" t="s">
        <v>11</v>
      </c>
      <c r="G190" s="4" t="s">
        <v>22</v>
      </c>
      <c r="H190" s="4" t="s">
        <v>25</v>
      </c>
      <c r="I190" s="4" t="s">
        <v>24</v>
      </c>
      <c r="J190" s="5">
        <v>4131</v>
      </c>
      <c r="K190" t="str">
        <f t="shared" si="4"/>
        <v>Feb</v>
      </c>
      <c r="L190">
        <f t="shared" si="5"/>
        <v>2025</v>
      </c>
    </row>
    <row r="191" spans="1:12" x14ac:dyDescent="0.45">
      <c r="A191" s="14">
        <v>45598</v>
      </c>
      <c r="B191" s="6">
        <v>3949</v>
      </c>
      <c r="C191" s="6">
        <v>247.20000000000002</v>
      </c>
      <c r="D191" s="6">
        <v>32</v>
      </c>
      <c r="E191" s="6" t="s">
        <v>10</v>
      </c>
      <c r="F191" s="6" t="s">
        <v>15</v>
      </c>
      <c r="G191" s="6" t="s">
        <v>22</v>
      </c>
      <c r="H191" s="6" t="s">
        <v>13</v>
      </c>
      <c r="I191" s="6" t="s">
        <v>21</v>
      </c>
      <c r="J191" s="7">
        <v>3212</v>
      </c>
      <c r="K191" t="str">
        <f t="shared" si="4"/>
        <v>Nov</v>
      </c>
      <c r="L191">
        <f t="shared" si="5"/>
        <v>2024</v>
      </c>
    </row>
    <row r="192" spans="1:12" x14ac:dyDescent="0.45">
      <c r="A192" s="13">
        <v>45554</v>
      </c>
      <c r="B192" s="4">
        <v>1056</v>
      </c>
      <c r="C192" s="4">
        <v>142.6</v>
      </c>
      <c r="D192" s="4">
        <v>32</v>
      </c>
      <c r="E192" s="4" t="s">
        <v>10</v>
      </c>
      <c r="F192" s="4" t="s">
        <v>15</v>
      </c>
      <c r="G192" s="4" t="s">
        <v>30</v>
      </c>
      <c r="H192" s="4" t="s">
        <v>25</v>
      </c>
      <c r="I192" s="4" t="s">
        <v>14</v>
      </c>
      <c r="J192" s="5">
        <v>779</v>
      </c>
      <c r="K192" t="str">
        <f t="shared" si="4"/>
        <v>Sep</v>
      </c>
      <c r="L192">
        <f t="shared" si="5"/>
        <v>2024</v>
      </c>
    </row>
    <row r="193" spans="1:12" x14ac:dyDescent="0.45">
      <c r="A193" s="14">
        <v>45760</v>
      </c>
      <c r="B193" s="6">
        <v>2464</v>
      </c>
      <c r="C193" s="6">
        <v>175.60000000000002</v>
      </c>
      <c r="D193" s="6">
        <v>32</v>
      </c>
      <c r="E193" s="6" t="s">
        <v>27</v>
      </c>
      <c r="F193" s="6" t="s">
        <v>11</v>
      </c>
      <c r="G193" s="6" t="s">
        <v>30</v>
      </c>
      <c r="H193" s="6" t="s">
        <v>28</v>
      </c>
      <c r="I193" s="6" t="s">
        <v>34</v>
      </c>
      <c r="J193" s="7">
        <v>3996</v>
      </c>
      <c r="K193" t="str">
        <f t="shared" si="4"/>
        <v>Apr</v>
      </c>
      <c r="L193">
        <f t="shared" si="5"/>
        <v>2025</v>
      </c>
    </row>
    <row r="194" spans="1:12" x14ac:dyDescent="0.45">
      <c r="A194" s="13">
        <v>45669</v>
      </c>
      <c r="B194" s="4">
        <v>2209</v>
      </c>
      <c r="C194" s="4">
        <v>16.240000000000002</v>
      </c>
      <c r="D194" s="4">
        <v>32</v>
      </c>
      <c r="E194" s="4" t="s">
        <v>27</v>
      </c>
      <c r="F194" s="4" t="s">
        <v>1</v>
      </c>
      <c r="G194" s="4" t="s">
        <v>30</v>
      </c>
      <c r="H194" s="4" t="s">
        <v>23</v>
      </c>
      <c r="I194" s="4" t="s">
        <v>24</v>
      </c>
      <c r="J194" s="5">
        <v>3264</v>
      </c>
      <c r="K194" t="str">
        <f t="shared" si="4"/>
        <v>Jan</v>
      </c>
      <c r="L194">
        <f t="shared" si="5"/>
        <v>2025</v>
      </c>
    </row>
    <row r="195" spans="1:12" x14ac:dyDescent="0.45">
      <c r="A195" s="14">
        <v>45471</v>
      </c>
      <c r="B195" s="6">
        <v>3236</v>
      </c>
      <c r="C195" s="6">
        <v>126.85000000000001</v>
      </c>
      <c r="D195" s="6">
        <v>32</v>
      </c>
      <c r="E195" s="6" t="s">
        <v>27</v>
      </c>
      <c r="F195" s="6" t="s">
        <v>15</v>
      </c>
      <c r="G195" s="6" t="s">
        <v>22</v>
      </c>
      <c r="H195" s="6" t="s">
        <v>33</v>
      </c>
      <c r="I195" s="6" t="s">
        <v>34</v>
      </c>
      <c r="J195" s="7">
        <v>757</v>
      </c>
      <c r="K195" t="str">
        <f t="shared" ref="K195:K258" si="6">TEXT(A195,"mmm")</f>
        <v>Jun</v>
      </c>
      <c r="L195">
        <f t="shared" ref="L195:L258" si="7">YEAR(A195)</f>
        <v>2024</v>
      </c>
    </row>
    <row r="196" spans="1:12" x14ac:dyDescent="0.45">
      <c r="A196" s="13">
        <v>45707</v>
      </c>
      <c r="B196" s="4">
        <v>2987</v>
      </c>
      <c r="C196" s="4">
        <v>37.36</v>
      </c>
      <c r="D196" s="4">
        <v>33</v>
      </c>
      <c r="E196" s="4" t="s">
        <v>29</v>
      </c>
      <c r="F196" s="4" t="s">
        <v>15</v>
      </c>
      <c r="G196" s="4" t="s">
        <v>12</v>
      </c>
      <c r="H196" s="4" t="s">
        <v>37</v>
      </c>
      <c r="I196" s="4" t="s">
        <v>14</v>
      </c>
      <c r="J196" s="5">
        <v>3260</v>
      </c>
      <c r="K196" t="str">
        <f t="shared" si="6"/>
        <v>Feb</v>
      </c>
      <c r="L196">
        <f t="shared" si="7"/>
        <v>2025</v>
      </c>
    </row>
    <row r="197" spans="1:12" x14ac:dyDescent="0.45">
      <c r="A197" s="14">
        <v>45627</v>
      </c>
      <c r="B197" s="6">
        <v>3031</v>
      </c>
      <c r="C197" s="6">
        <v>239.75</v>
      </c>
      <c r="D197" s="6">
        <v>33</v>
      </c>
      <c r="E197" s="6" t="s">
        <v>29</v>
      </c>
      <c r="F197" s="6" t="s">
        <v>11</v>
      </c>
      <c r="G197" s="6" t="s">
        <v>30</v>
      </c>
      <c r="H197" s="6" t="s">
        <v>35</v>
      </c>
      <c r="I197" s="6" t="s">
        <v>18</v>
      </c>
      <c r="J197" s="7">
        <v>3787</v>
      </c>
      <c r="K197" t="str">
        <f t="shared" si="6"/>
        <v>Dec</v>
      </c>
      <c r="L197">
        <f t="shared" si="7"/>
        <v>2024</v>
      </c>
    </row>
    <row r="198" spans="1:12" x14ac:dyDescent="0.45">
      <c r="A198" s="13">
        <v>45473</v>
      </c>
      <c r="B198" s="4">
        <v>1474</v>
      </c>
      <c r="C198" s="4">
        <v>28.94</v>
      </c>
      <c r="D198" s="4">
        <v>33</v>
      </c>
      <c r="E198" s="4" t="s">
        <v>29</v>
      </c>
      <c r="F198" s="4" t="s">
        <v>15</v>
      </c>
      <c r="G198" s="4" t="s">
        <v>16</v>
      </c>
      <c r="H198" s="4" t="s">
        <v>35</v>
      </c>
      <c r="I198" s="4" t="s">
        <v>14</v>
      </c>
      <c r="J198" s="5">
        <v>3917</v>
      </c>
      <c r="K198" t="str">
        <f t="shared" si="6"/>
        <v>Jun</v>
      </c>
      <c r="L198">
        <f t="shared" si="7"/>
        <v>2024</v>
      </c>
    </row>
    <row r="199" spans="1:12" x14ac:dyDescent="0.45">
      <c r="A199" s="14">
        <v>45693</v>
      </c>
      <c r="B199" s="6">
        <v>1735</v>
      </c>
      <c r="C199" s="6">
        <v>16.72</v>
      </c>
      <c r="D199" s="6">
        <v>33</v>
      </c>
      <c r="E199" s="6" t="s">
        <v>10</v>
      </c>
      <c r="F199" s="6" t="s">
        <v>15</v>
      </c>
      <c r="G199" s="6" t="s">
        <v>30</v>
      </c>
      <c r="H199" s="6" t="s">
        <v>23</v>
      </c>
      <c r="I199" s="6" t="s">
        <v>34</v>
      </c>
      <c r="J199" s="7">
        <v>615</v>
      </c>
      <c r="K199" t="str">
        <f t="shared" si="6"/>
        <v>Feb</v>
      </c>
      <c r="L199">
        <f t="shared" si="7"/>
        <v>2025</v>
      </c>
    </row>
    <row r="200" spans="1:12" x14ac:dyDescent="0.45">
      <c r="A200" s="13">
        <v>45583</v>
      </c>
      <c r="B200" s="4">
        <v>3659</v>
      </c>
      <c r="C200" s="4">
        <v>17.14</v>
      </c>
      <c r="D200" s="4">
        <v>33</v>
      </c>
      <c r="E200" s="4" t="s">
        <v>10</v>
      </c>
      <c r="F200" s="4" t="s">
        <v>15</v>
      </c>
      <c r="G200" s="4" t="s">
        <v>22</v>
      </c>
      <c r="H200" s="4" t="s">
        <v>37</v>
      </c>
      <c r="I200" s="4" t="s">
        <v>26</v>
      </c>
      <c r="J200" s="5">
        <v>1616</v>
      </c>
      <c r="K200" t="str">
        <f t="shared" si="6"/>
        <v>Oct</v>
      </c>
      <c r="L200">
        <f t="shared" si="7"/>
        <v>2024</v>
      </c>
    </row>
    <row r="201" spans="1:12" x14ac:dyDescent="0.45">
      <c r="A201" s="14">
        <v>45764</v>
      </c>
      <c r="B201" s="6">
        <v>1200</v>
      </c>
      <c r="C201" s="6">
        <v>20.12</v>
      </c>
      <c r="D201" s="6">
        <v>33</v>
      </c>
      <c r="E201" s="6" t="s">
        <v>19</v>
      </c>
      <c r="F201" s="6" t="s">
        <v>15</v>
      </c>
      <c r="G201" s="6" t="s">
        <v>12</v>
      </c>
      <c r="H201" s="6" t="s">
        <v>38</v>
      </c>
      <c r="I201" s="6" t="s">
        <v>34</v>
      </c>
      <c r="J201" s="7">
        <v>3772</v>
      </c>
      <c r="K201" t="str">
        <f t="shared" si="6"/>
        <v>Apr</v>
      </c>
      <c r="L201">
        <f t="shared" si="7"/>
        <v>2025</v>
      </c>
    </row>
    <row r="202" spans="1:12" x14ac:dyDescent="0.45">
      <c r="A202" s="13">
        <v>45694</v>
      </c>
      <c r="B202" s="4">
        <v>1411</v>
      </c>
      <c r="C202" s="4">
        <v>213.65</v>
      </c>
      <c r="D202" s="4">
        <v>33</v>
      </c>
      <c r="E202" s="4" t="s">
        <v>19</v>
      </c>
      <c r="F202" s="4" t="s">
        <v>11</v>
      </c>
      <c r="G202" s="4" t="s">
        <v>16</v>
      </c>
      <c r="H202" s="4" t="s">
        <v>23</v>
      </c>
      <c r="I202" s="4" t="s">
        <v>26</v>
      </c>
      <c r="J202" s="5">
        <v>1330</v>
      </c>
      <c r="K202" t="str">
        <f t="shared" si="6"/>
        <v>Feb</v>
      </c>
      <c r="L202">
        <f t="shared" si="7"/>
        <v>2025</v>
      </c>
    </row>
    <row r="203" spans="1:12" x14ac:dyDescent="0.45">
      <c r="A203" s="14">
        <v>45675</v>
      </c>
      <c r="B203" s="6">
        <v>3941</v>
      </c>
      <c r="C203" s="6">
        <v>191.25</v>
      </c>
      <c r="D203" s="6">
        <v>33</v>
      </c>
      <c r="E203" s="6" t="s">
        <v>19</v>
      </c>
      <c r="F203" s="6" t="s">
        <v>11</v>
      </c>
      <c r="G203" s="6" t="s">
        <v>30</v>
      </c>
      <c r="H203" s="6" t="s">
        <v>23</v>
      </c>
      <c r="I203" s="6" t="s">
        <v>18</v>
      </c>
      <c r="J203" s="7">
        <v>2505</v>
      </c>
      <c r="K203" t="str">
        <f t="shared" si="6"/>
        <v>Jan</v>
      </c>
      <c r="L203">
        <f t="shared" si="7"/>
        <v>2025</v>
      </c>
    </row>
    <row r="204" spans="1:12" x14ac:dyDescent="0.45">
      <c r="A204" s="13">
        <v>45460</v>
      </c>
      <c r="B204" s="4">
        <v>3187</v>
      </c>
      <c r="C204" s="4">
        <v>225.05</v>
      </c>
      <c r="D204" s="4">
        <v>34</v>
      </c>
      <c r="E204" s="4" t="s">
        <v>29</v>
      </c>
      <c r="F204" s="4" t="s">
        <v>1</v>
      </c>
      <c r="G204" s="4" t="s">
        <v>16</v>
      </c>
      <c r="H204" s="4" t="s">
        <v>13</v>
      </c>
      <c r="I204" s="4" t="s">
        <v>24</v>
      </c>
      <c r="J204" s="5">
        <v>882</v>
      </c>
      <c r="K204" t="str">
        <f t="shared" si="6"/>
        <v>Jun</v>
      </c>
      <c r="L204">
        <f t="shared" si="7"/>
        <v>2024</v>
      </c>
    </row>
    <row r="205" spans="1:12" x14ac:dyDescent="0.45">
      <c r="A205" s="14">
        <v>45726</v>
      </c>
      <c r="B205" s="6">
        <v>725</v>
      </c>
      <c r="C205" s="6">
        <v>135.45000000000002</v>
      </c>
      <c r="D205" s="6">
        <v>34</v>
      </c>
      <c r="E205" s="6" t="s">
        <v>19</v>
      </c>
      <c r="F205" s="6" t="s">
        <v>11</v>
      </c>
      <c r="G205" s="6" t="s">
        <v>12</v>
      </c>
      <c r="H205" s="6" t="s">
        <v>28</v>
      </c>
      <c r="I205" s="6" t="s">
        <v>34</v>
      </c>
      <c r="J205" s="7">
        <v>4189</v>
      </c>
      <c r="K205" t="str">
        <f t="shared" si="6"/>
        <v>Mar</v>
      </c>
      <c r="L205">
        <f t="shared" si="7"/>
        <v>2025</v>
      </c>
    </row>
    <row r="206" spans="1:12" x14ac:dyDescent="0.45">
      <c r="A206" s="13">
        <v>45719</v>
      </c>
      <c r="B206" s="4">
        <v>1456</v>
      </c>
      <c r="C206" s="4">
        <v>13.780000000000001</v>
      </c>
      <c r="D206" s="4">
        <v>34</v>
      </c>
      <c r="E206" s="4" t="s">
        <v>19</v>
      </c>
      <c r="F206" s="4" t="s">
        <v>11</v>
      </c>
      <c r="G206" s="4" t="s">
        <v>12</v>
      </c>
      <c r="H206" s="4" t="s">
        <v>31</v>
      </c>
      <c r="I206" s="4" t="s">
        <v>21</v>
      </c>
      <c r="J206" s="5">
        <v>2197</v>
      </c>
      <c r="K206" t="str">
        <f t="shared" si="6"/>
        <v>Mar</v>
      </c>
      <c r="L206">
        <f t="shared" si="7"/>
        <v>2025</v>
      </c>
    </row>
    <row r="207" spans="1:12" x14ac:dyDescent="0.45">
      <c r="A207" s="14">
        <v>45629</v>
      </c>
      <c r="B207" s="6">
        <v>1583</v>
      </c>
      <c r="C207" s="6">
        <v>195.3</v>
      </c>
      <c r="D207" s="6">
        <v>34</v>
      </c>
      <c r="E207" s="6" t="s">
        <v>27</v>
      </c>
      <c r="F207" s="6" t="s">
        <v>1</v>
      </c>
      <c r="G207" s="6" t="s">
        <v>22</v>
      </c>
      <c r="H207" s="6" t="s">
        <v>20</v>
      </c>
      <c r="I207" s="6" t="s">
        <v>14</v>
      </c>
      <c r="J207" s="7">
        <v>2520</v>
      </c>
      <c r="K207" t="str">
        <f t="shared" si="6"/>
        <v>Dec</v>
      </c>
      <c r="L207">
        <f t="shared" si="7"/>
        <v>2024</v>
      </c>
    </row>
    <row r="208" spans="1:12" x14ac:dyDescent="0.45">
      <c r="A208" s="13">
        <v>45457</v>
      </c>
      <c r="B208" s="4">
        <v>2593</v>
      </c>
      <c r="C208" s="4">
        <v>23.78</v>
      </c>
      <c r="D208" s="4">
        <v>34</v>
      </c>
      <c r="E208" s="4" t="s">
        <v>27</v>
      </c>
      <c r="F208" s="4" t="s">
        <v>1</v>
      </c>
      <c r="G208" s="4" t="s">
        <v>30</v>
      </c>
      <c r="H208" s="4" t="s">
        <v>32</v>
      </c>
      <c r="I208" s="4" t="s">
        <v>21</v>
      </c>
      <c r="J208" s="5">
        <v>3927</v>
      </c>
      <c r="K208" t="str">
        <f t="shared" si="6"/>
        <v>Jun</v>
      </c>
      <c r="L208">
        <f t="shared" si="7"/>
        <v>2024</v>
      </c>
    </row>
    <row r="209" spans="1:12" x14ac:dyDescent="0.45">
      <c r="A209" s="14">
        <v>45732</v>
      </c>
      <c r="B209" s="6">
        <v>2688</v>
      </c>
      <c r="C209" s="6">
        <v>245.70000000000002</v>
      </c>
      <c r="D209" s="6">
        <v>35</v>
      </c>
      <c r="E209" s="6" t="s">
        <v>29</v>
      </c>
      <c r="F209" s="6" t="s">
        <v>15</v>
      </c>
      <c r="G209" s="6" t="s">
        <v>30</v>
      </c>
      <c r="H209" s="6" t="s">
        <v>20</v>
      </c>
      <c r="I209" s="6" t="s">
        <v>26</v>
      </c>
      <c r="J209" s="7">
        <v>4187</v>
      </c>
      <c r="K209" t="str">
        <f t="shared" si="6"/>
        <v>Mar</v>
      </c>
      <c r="L209">
        <f t="shared" si="7"/>
        <v>2025</v>
      </c>
    </row>
    <row r="210" spans="1:12" x14ac:dyDescent="0.45">
      <c r="A210" s="13">
        <v>45648</v>
      </c>
      <c r="B210" s="4">
        <v>2055</v>
      </c>
      <c r="C210" s="4">
        <v>150.35</v>
      </c>
      <c r="D210" s="4">
        <v>35</v>
      </c>
      <c r="E210" s="4" t="s">
        <v>29</v>
      </c>
      <c r="F210" s="4" t="s">
        <v>15</v>
      </c>
      <c r="G210" s="4" t="s">
        <v>12</v>
      </c>
      <c r="H210" s="4" t="s">
        <v>13</v>
      </c>
      <c r="I210" s="4" t="s">
        <v>14</v>
      </c>
      <c r="J210" s="5">
        <v>3195</v>
      </c>
      <c r="K210" t="str">
        <f t="shared" si="6"/>
        <v>Dec</v>
      </c>
      <c r="L210">
        <f t="shared" si="7"/>
        <v>2024</v>
      </c>
    </row>
    <row r="211" spans="1:12" x14ac:dyDescent="0.45">
      <c r="A211" s="14">
        <v>45524</v>
      </c>
      <c r="B211" s="6">
        <v>3020</v>
      </c>
      <c r="C211" s="6">
        <v>14.58</v>
      </c>
      <c r="D211" s="6">
        <v>35</v>
      </c>
      <c r="E211" s="6" t="s">
        <v>29</v>
      </c>
      <c r="F211" s="6" t="s">
        <v>15</v>
      </c>
      <c r="G211" s="6" t="s">
        <v>30</v>
      </c>
      <c r="H211" s="6" t="s">
        <v>20</v>
      </c>
      <c r="I211" s="6" t="s">
        <v>26</v>
      </c>
      <c r="J211" s="7">
        <v>3137</v>
      </c>
      <c r="K211" t="str">
        <f t="shared" si="6"/>
        <v>Aug</v>
      </c>
      <c r="L211">
        <f t="shared" si="7"/>
        <v>2024</v>
      </c>
    </row>
    <row r="212" spans="1:12" x14ac:dyDescent="0.45">
      <c r="A212" s="13">
        <v>45676</v>
      </c>
      <c r="B212" s="4">
        <v>2014</v>
      </c>
      <c r="C212" s="4">
        <v>15.22</v>
      </c>
      <c r="D212" s="4">
        <v>35</v>
      </c>
      <c r="E212" s="4" t="s">
        <v>19</v>
      </c>
      <c r="F212" s="4" t="s">
        <v>11</v>
      </c>
      <c r="G212" s="4" t="s">
        <v>12</v>
      </c>
      <c r="H212" s="4" t="s">
        <v>32</v>
      </c>
      <c r="I212" s="4" t="s">
        <v>21</v>
      </c>
      <c r="J212" s="5">
        <v>3753</v>
      </c>
      <c r="K212" t="str">
        <f t="shared" si="6"/>
        <v>Jan</v>
      </c>
      <c r="L212">
        <f t="shared" si="7"/>
        <v>2025</v>
      </c>
    </row>
    <row r="213" spans="1:12" x14ac:dyDescent="0.45">
      <c r="A213" s="14">
        <v>45458</v>
      </c>
      <c r="B213" s="6">
        <v>2233</v>
      </c>
      <c r="C213" s="6">
        <v>24.36</v>
      </c>
      <c r="D213" s="6">
        <v>35</v>
      </c>
      <c r="E213" s="6" t="s">
        <v>27</v>
      </c>
      <c r="F213" s="6" t="s">
        <v>1</v>
      </c>
      <c r="G213" s="6" t="s">
        <v>22</v>
      </c>
      <c r="H213" s="6" t="s">
        <v>33</v>
      </c>
      <c r="I213" s="6" t="s">
        <v>14</v>
      </c>
      <c r="J213" s="7">
        <v>1955</v>
      </c>
      <c r="K213" t="str">
        <f t="shared" si="6"/>
        <v>Jun</v>
      </c>
      <c r="L213">
        <f t="shared" si="7"/>
        <v>2024</v>
      </c>
    </row>
    <row r="214" spans="1:12" x14ac:dyDescent="0.45">
      <c r="A214" s="13">
        <v>45581</v>
      </c>
      <c r="B214" s="4">
        <v>514</v>
      </c>
      <c r="C214" s="4">
        <v>179.8</v>
      </c>
      <c r="D214" s="4">
        <v>36</v>
      </c>
      <c r="E214" s="4" t="s">
        <v>10</v>
      </c>
      <c r="F214" s="4" t="s">
        <v>11</v>
      </c>
      <c r="G214" s="4" t="s">
        <v>12</v>
      </c>
      <c r="H214" s="4" t="s">
        <v>37</v>
      </c>
      <c r="I214" s="4" t="s">
        <v>34</v>
      </c>
      <c r="J214" s="5">
        <v>3997</v>
      </c>
      <c r="K214" t="str">
        <f t="shared" si="6"/>
        <v>Oct</v>
      </c>
      <c r="L214">
        <f t="shared" si="7"/>
        <v>2024</v>
      </c>
    </row>
    <row r="215" spans="1:12" x14ac:dyDescent="0.45">
      <c r="A215" s="14">
        <v>45754</v>
      </c>
      <c r="B215" s="6">
        <v>3296</v>
      </c>
      <c r="C215" s="6">
        <v>29.8</v>
      </c>
      <c r="D215" s="6">
        <v>36</v>
      </c>
      <c r="E215" s="6" t="s">
        <v>19</v>
      </c>
      <c r="F215" s="6" t="s">
        <v>11</v>
      </c>
      <c r="G215" s="6" t="s">
        <v>30</v>
      </c>
      <c r="H215" s="6" t="s">
        <v>36</v>
      </c>
      <c r="I215" s="6" t="s">
        <v>18</v>
      </c>
      <c r="J215" s="7">
        <v>3409</v>
      </c>
      <c r="K215" t="str">
        <f t="shared" si="6"/>
        <v>Apr</v>
      </c>
      <c r="L215">
        <f t="shared" si="7"/>
        <v>2025</v>
      </c>
    </row>
    <row r="216" spans="1:12" x14ac:dyDescent="0.45">
      <c r="A216" s="13">
        <v>45534</v>
      </c>
      <c r="B216" s="4">
        <v>1263</v>
      </c>
      <c r="C216" s="4">
        <v>34.32</v>
      </c>
      <c r="D216" s="4">
        <v>36</v>
      </c>
      <c r="E216" s="4" t="s">
        <v>19</v>
      </c>
      <c r="F216" s="4" t="s">
        <v>15</v>
      </c>
      <c r="G216" s="4" t="s">
        <v>30</v>
      </c>
      <c r="H216" s="4" t="s">
        <v>25</v>
      </c>
      <c r="I216" s="4" t="s">
        <v>18</v>
      </c>
      <c r="J216" s="5">
        <v>3829</v>
      </c>
      <c r="K216" t="str">
        <f t="shared" si="6"/>
        <v>Aug</v>
      </c>
      <c r="L216">
        <f t="shared" si="7"/>
        <v>2024</v>
      </c>
    </row>
    <row r="217" spans="1:12" x14ac:dyDescent="0.45">
      <c r="A217" s="14">
        <v>45502</v>
      </c>
      <c r="B217" s="6">
        <v>3563</v>
      </c>
      <c r="C217" s="6">
        <v>34.700000000000003</v>
      </c>
      <c r="D217" s="6">
        <v>36</v>
      </c>
      <c r="E217" s="6" t="s">
        <v>27</v>
      </c>
      <c r="F217" s="6" t="s">
        <v>1</v>
      </c>
      <c r="G217" s="6" t="s">
        <v>12</v>
      </c>
      <c r="H217" s="6" t="s">
        <v>33</v>
      </c>
      <c r="I217" s="6" t="s">
        <v>18</v>
      </c>
      <c r="J217" s="7">
        <v>1268</v>
      </c>
      <c r="K217" t="str">
        <f t="shared" si="6"/>
        <v>Jul</v>
      </c>
      <c r="L217">
        <f t="shared" si="7"/>
        <v>2024</v>
      </c>
    </row>
    <row r="218" spans="1:12" x14ac:dyDescent="0.45">
      <c r="A218" s="13">
        <v>45714</v>
      </c>
      <c r="B218" s="4">
        <v>1529</v>
      </c>
      <c r="C218" s="4">
        <v>223.65</v>
      </c>
      <c r="D218" s="4">
        <v>37</v>
      </c>
      <c r="E218" s="4" t="s">
        <v>29</v>
      </c>
      <c r="F218" s="4" t="s">
        <v>11</v>
      </c>
      <c r="G218" s="4" t="s">
        <v>30</v>
      </c>
      <c r="H218" s="4" t="s">
        <v>25</v>
      </c>
      <c r="I218" s="4" t="s">
        <v>21</v>
      </c>
      <c r="J218" s="5">
        <v>3879</v>
      </c>
      <c r="K218" t="str">
        <f t="shared" si="6"/>
        <v>Feb</v>
      </c>
      <c r="L218">
        <f t="shared" si="7"/>
        <v>2025</v>
      </c>
    </row>
    <row r="219" spans="1:12" x14ac:dyDescent="0.45">
      <c r="A219" s="14">
        <v>45687</v>
      </c>
      <c r="B219" s="6">
        <v>3503</v>
      </c>
      <c r="C219" s="6">
        <v>179.25</v>
      </c>
      <c r="D219" s="6">
        <v>37</v>
      </c>
      <c r="E219" s="6" t="s">
        <v>29</v>
      </c>
      <c r="F219" s="6" t="s">
        <v>15</v>
      </c>
      <c r="G219" s="6" t="s">
        <v>12</v>
      </c>
      <c r="H219" s="6" t="s">
        <v>32</v>
      </c>
      <c r="I219" s="6" t="s">
        <v>14</v>
      </c>
      <c r="J219" s="7">
        <v>3799</v>
      </c>
      <c r="K219" t="str">
        <f t="shared" si="6"/>
        <v>Jan</v>
      </c>
      <c r="L219">
        <f t="shared" si="7"/>
        <v>2025</v>
      </c>
    </row>
    <row r="220" spans="1:12" x14ac:dyDescent="0.45">
      <c r="A220" s="13">
        <v>45753</v>
      </c>
      <c r="B220" s="4">
        <v>1078</v>
      </c>
      <c r="C220" s="4">
        <v>131.65</v>
      </c>
      <c r="D220" s="4">
        <v>37</v>
      </c>
      <c r="E220" s="4" t="s">
        <v>10</v>
      </c>
      <c r="F220" s="4" t="s">
        <v>15</v>
      </c>
      <c r="G220" s="4" t="s">
        <v>16</v>
      </c>
      <c r="H220" s="4" t="s">
        <v>13</v>
      </c>
      <c r="I220" s="4" t="s">
        <v>21</v>
      </c>
      <c r="J220" s="5">
        <v>2094</v>
      </c>
      <c r="K220" t="str">
        <f t="shared" si="6"/>
        <v>Apr</v>
      </c>
      <c r="L220">
        <f t="shared" si="7"/>
        <v>2025</v>
      </c>
    </row>
    <row r="221" spans="1:12" x14ac:dyDescent="0.45">
      <c r="A221" s="14">
        <v>45734</v>
      </c>
      <c r="B221" s="6">
        <v>2883</v>
      </c>
      <c r="C221" s="6">
        <v>37.300000000000004</v>
      </c>
      <c r="D221" s="6">
        <v>37</v>
      </c>
      <c r="E221" s="6" t="s">
        <v>10</v>
      </c>
      <c r="F221" s="6" t="s">
        <v>1</v>
      </c>
      <c r="G221" s="6" t="s">
        <v>16</v>
      </c>
      <c r="H221" s="6" t="s">
        <v>28</v>
      </c>
      <c r="I221" s="6" t="s">
        <v>21</v>
      </c>
      <c r="J221" s="7">
        <v>3656</v>
      </c>
      <c r="K221" t="str">
        <f t="shared" si="6"/>
        <v>Mar</v>
      </c>
      <c r="L221">
        <f t="shared" si="7"/>
        <v>2025</v>
      </c>
    </row>
    <row r="222" spans="1:12" x14ac:dyDescent="0.45">
      <c r="A222" s="13">
        <v>45550</v>
      </c>
      <c r="B222" s="4">
        <v>2397</v>
      </c>
      <c r="C222" s="4">
        <v>216.45000000000002</v>
      </c>
      <c r="D222" s="4">
        <v>37</v>
      </c>
      <c r="E222" s="4" t="s">
        <v>10</v>
      </c>
      <c r="F222" s="4" t="s">
        <v>11</v>
      </c>
      <c r="G222" s="4" t="s">
        <v>22</v>
      </c>
      <c r="H222" s="4" t="s">
        <v>32</v>
      </c>
      <c r="I222" s="4" t="s">
        <v>26</v>
      </c>
      <c r="J222" s="5">
        <v>1940</v>
      </c>
      <c r="K222" t="str">
        <f t="shared" si="6"/>
        <v>Sep</v>
      </c>
      <c r="L222">
        <f t="shared" si="7"/>
        <v>2024</v>
      </c>
    </row>
    <row r="223" spans="1:12" x14ac:dyDescent="0.45">
      <c r="A223" s="14">
        <v>45780</v>
      </c>
      <c r="B223" s="6">
        <v>1287</v>
      </c>
      <c r="C223" s="6">
        <v>180.55</v>
      </c>
      <c r="D223" s="6">
        <v>37</v>
      </c>
      <c r="E223" s="6" t="s">
        <v>19</v>
      </c>
      <c r="F223" s="6" t="s">
        <v>1</v>
      </c>
      <c r="G223" s="6" t="s">
        <v>22</v>
      </c>
      <c r="H223" s="6" t="s">
        <v>23</v>
      </c>
      <c r="I223" s="6" t="s">
        <v>24</v>
      </c>
      <c r="J223" s="7">
        <v>3916</v>
      </c>
      <c r="K223" t="str">
        <f t="shared" si="6"/>
        <v>May</v>
      </c>
      <c r="L223">
        <f t="shared" si="7"/>
        <v>2025</v>
      </c>
    </row>
    <row r="224" spans="1:12" x14ac:dyDescent="0.45">
      <c r="A224" s="13">
        <v>45631</v>
      </c>
      <c r="B224" s="4">
        <v>2907</v>
      </c>
      <c r="C224" s="4">
        <v>204.3</v>
      </c>
      <c r="D224" s="4">
        <v>37</v>
      </c>
      <c r="E224" s="4" t="s">
        <v>19</v>
      </c>
      <c r="F224" s="4" t="s">
        <v>1</v>
      </c>
      <c r="G224" s="4" t="s">
        <v>22</v>
      </c>
      <c r="H224" s="4" t="s">
        <v>13</v>
      </c>
      <c r="I224" s="4" t="s">
        <v>24</v>
      </c>
      <c r="J224" s="5">
        <v>630</v>
      </c>
      <c r="K224" t="str">
        <f t="shared" si="6"/>
        <v>Dec</v>
      </c>
      <c r="L224">
        <f t="shared" si="7"/>
        <v>2024</v>
      </c>
    </row>
    <row r="225" spans="1:12" x14ac:dyDescent="0.45">
      <c r="A225" s="14">
        <v>45497</v>
      </c>
      <c r="B225" s="6">
        <v>3337</v>
      </c>
      <c r="C225" s="6">
        <v>43.02</v>
      </c>
      <c r="D225" s="6">
        <v>37</v>
      </c>
      <c r="E225" s="6" t="s">
        <v>19</v>
      </c>
      <c r="F225" s="6" t="s">
        <v>15</v>
      </c>
      <c r="G225" s="6" t="s">
        <v>22</v>
      </c>
      <c r="H225" s="6" t="s">
        <v>23</v>
      </c>
      <c r="I225" s="6" t="s">
        <v>18</v>
      </c>
      <c r="J225" s="7">
        <v>2367</v>
      </c>
      <c r="K225" t="str">
        <f t="shared" si="6"/>
        <v>Jul</v>
      </c>
      <c r="L225">
        <f t="shared" si="7"/>
        <v>2024</v>
      </c>
    </row>
    <row r="226" spans="1:12" x14ac:dyDescent="0.45">
      <c r="A226" s="13">
        <v>45784</v>
      </c>
      <c r="B226" s="4">
        <v>2233</v>
      </c>
      <c r="C226" s="4">
        <v>249.70000000000002</v>
      </c>
      <c r="D226" s="4">
        <v>37</v>
      </c>
      <c r="E226" s="4" t="s">
        <v>27</v>
      </c>
      <c r="F226" s="4" t="s">
        <v>15</v>
      </c>
      <c r="G226" s="4" t="s">
        <v>30</v>
      </c>
      <c r="H226" s="4" t="s">
        <v>31</v>
      </c>
      <c r="I226" s="4" t="s">
        <v>34</v>
      </c>
      <c r="J226" s="5">
        <v>3317</v>
      </c>
      <c r="K226" t="str">
        <f t="shared" si="6"/>
        <v>May</v>
      </c>
      <c r="L226">
        <f t="shared" si="7"/>
        <v>2025</v>
      </c>
    </row>
    <row r="227" spans="1:12" x14ac:dyDescent="0.45">
      <c r="A227" s="14">
        <v>45771</v>
      </c>
      <c r="B227" s="6">
        <v>3616</v>
      </c>
      <c r="C227" s="6">
        <v>26.42</v>
      </c>
      <c r="D227" s="6">
        <v>37</v>
      </c>
      <c r="E227" s="6" t="s">
        <v>27</v>
      </c>
      <c r="F227" s="6" t="s">
        <v>15</v>
      </c>
      <c r="G227" s="6" t="s">
        <v>22</v>
      </c>
      <c r="H227" s="6" t="s">
        <v>25</v>
      </c>
      <c r="I227" s="6" t="s">
        <v>21</v>
      </c>
      <c r="J227" s="7">
        <v>2651</v>
      </c>
      <c r="K227" t="str">
        <f t="shared" si="6"/>
        <v>Apr</v>
      </c>
      <c r="L227">
        <f t="shared" si="7"/>
        <v>2025</v>
      </c>
    </row>
    <row r="228" spans="1:12" x14ac:dyDescent="0.45">
      <c r="A228" s="13">
        <v>45681</v>
      </c>
      <c r="B228" s="4">
        <v>2980</v>
      </c>
      <c r="C228" s="4">
        <v>150.20000000000002</v>
      </c>
      <c r="D228" s="4">
        <v>37</v>
      </c>
      <c r="E228" s="4" t="s">
        <v>27</v>
      </c>
      <c r="F228" s="4" t="s">
        <v>11</v>
      </c>
      <c r="G228" s="4" t="s">
        <v>16</v>
      </c>
      <c r="H228" s="4" t="s">
        <v>28</v>
      </c>
      <c r="I228" s="4" t="s">
        <v>26</v>
      </c>
      <c r="J228" s="5">
        <v>3762</v>
      </c>
      <c r="K228" t="str">
        <f t="shared" si="6"/>
        <v>Jan</v>
      </c>
      <c r="L228">
        <f t="shared" si="7"/>
        <v>2025</v>
      </c>
    </row>
    <row r="229" spans="1:12" x14ac:dyDescent="0.45">
      <c r="A229" s="14">
        <v>45604</v>
      </c>
      <c r="B229" s="6">
        <v>1462</v>
      </c>
      <c r="C229" s="6">
        <v>32</v>
      </c>
      <c r="D229" s="6">
        <v>37</v>
      </c>
      <c r="E229" s="6" t="s">
        <v>27</v>
      </c>
      <c r="F229" s="6" t="s">
        <v>11</v>
      </c>
      <c r="G229" s="6" t="s">
        <v>22</v>
      </c>
      <c r="H229" s="6" t="s">
        <v>33</v>
      </c>
      <c r="I229" s="6" t="s">
        <v>26</v>
      </c>
      <c r="J229" s="7">
        <v>3985</v>
      </c>
      <c r="K229" t="str">
        <f t="shared" si="6"/>
        <v>Nov</v>
      </c>
      <c r="L229">
        <f t="shared" si="7"/>
        <v>2024</v>
      </c>
    </row>
    <row r="230" spans="1:12" x14ac:dyDescent="0.45">
      <c r="A230" s="13">
        <v>45733</v>
      </c>
      <c r="B230" s="4">
        <v>2345</v>
      </c>
      <c r="C230" s="4">
        <v>45.6</v>
      </c>
      <c r="D230" s="4">
        <v>38</v>
      </c>
      <c r="E230" s="4" t="s">
        <v>29</v>
      </c>
      <c r="F230" s="4" t="s">
        <v>11</v>
      </c>
      <c r="G230" s="4" t="s">
        <v>30</v>
      </c>
      <c r="H230" s="4" t="s">
        <v>35</v>
      </c>
      <c r="I230" s="4" t="s">
        <v>18</v>
      </c>
      <c r="J230" s="5">
        <v>4167</v>
      </c>
      <c r="K230" t="str">
        <f t="shared" si="6"/>
        <v>Mar</v>
      </c>
      <c r="L230">
        <f t="shared" si="7"/>
        <v>2025</v>
      </c>
    </row>
    <row r="231" spans="1:12" x14ac:dyDescent="0.45">
      <c r="A231" s="14">
        <v>45646</v>
      </c>
      <c r="B231" s="6">
        <v>1592</v>
      </c>
      <c r="C231" s="6">
        <v>238.85000000000002</v>
      </c>
      <c r="D231" s="6">
        <v>38</v>
      </c>
      <c r="E231" s="6" t="s">
        <v>29</v>
      </c>
      <c r="F231" s="6" t="s">
        <v>11</v>
      </c>
      <c r="G231" s="6" t="s">
        <v>30</v>
      </c>
      <c r="H231" s="6" t="s">
        <v>25</v>
      </c>
      <c r="I231" s="6" t="s">
        <v>14</v>
      </c>
      <c r="J231" s="7">
        <v>2539</v>
      </c>
      <c r="K231" t="str">
        <f t="shared" si="6"/>
        <v>Dec</v>
      </c>
      <c r="L231">
        <f t="shared" si="7"/>
        <v>2024</v>
      </c>
    </row>
    <row r="232" spans="1:12" x14ac:dyDescent="0.45">
      <c r="A232" s="13">
        <v>45616</v>
      </c>
      <c r="B232" s="4">
        <v>690</v>
      </c>
      <c r="C232" s="4">
        <v>217.25</v>
      </c>
      <c r="D232" s="4">
        <v>38</v>
      </c>
      <c r="E232" s="4" t="s">
        <v>29</v>
      </c>
      <c r="F232" s="4" t="s">
        <v>15</v>
      </c>
      <c r="G232" s="4" t="s">
        <v>12</v>
      </c>
      <c r="H232" s="4" t="s">
        <v>33</v>
      </c>
      <c r="I232" s="4" t="s">
        <v>26</v>
      </c>
      <c r="J232" s="5">
        <v>1503</v>
      </c>
      <c r="K232" t="str">
        <f t="shared" si="6"/>
        <v>Nov</v>
      </c>
      <c r="L232">
        <f t="shared" si="7"/>
        <v>2024</v>
      </c>
    </row>
    <row r="233" spans="1:12" x14ac:dyDescent="0.45">
      <c r="A233" s="14">
        <v>45537</v>
      </c>
      <c r="B233" s="6">
        <v>976</v>
      </c>
      <c r="C233" s="6">
        <v>43.86</v>
      </c>
      <c r="D233" s="6">
        <v>38</v>
      </c>
      <c r="E233" s="6" t="s">
        <v>29</v>
      </c>
      <c r="F233" s="6" t="s">
        <v>15</v>
      </c>
      <c r="G233" s="6" t="s">
        <v>12</v>
      </c>
      <c r="H233" s="6" t="s">
        <v>38</v>
      </c>
      <c r="I233" s="6" t="s">
        <v>21</v>
      </c>
      <c r="J233" s="7">
        <v>1841</v>
      </c>
      <c r="K233" t="str">
        <f t="shared" si="6"/>
        <v>Sep</v>
      </c>
      <c r="L233">
        <f t="shared" si="7"/>
        <v>2024</v>
      </c>
    </row>
    <row r="234" spans="1:12" x14ac:dyDescent="0.45">
      <c r="A234" s="13">
        <v>45797</v>
      </c>
      <c r="B234" s="4">
        <v>1962</v>
      </c>
      <c r="C234" s="4">
        <v>131.4</v>
      </c>
      <c r="D234" s="4">
        <v>38</v>
      </c>
      <c r="E234" s="4" t="s">
        <v>10</v>
      </c>
      <c r="F234" s="4" t="s">
        <v>1</v>
      </c>
      <c r="G234" s="4" t="s">
        <v>22</v>
      </c>
      <c r="H234" s="4" t="s">
        <v>20</v>
      </c>
      <c r="I234" s="4" t="s">
        <v>14</v>
      </c>
      <c r="J234" s="5">
        <v>1221</v>
      </c>
      <c r="K234" t="str">
        <f t="shared" si="6"/>
        <v>May</v>
      </c>
      <c r="L234">
        <f t="shared" si="7"/>
        <v>2025</v>
      </c>
    </row>
    <row r="235" spans="1:12" x14ac:dyDescent="0.45">
      <c r="A235" s="14">
        <v>45715</v>
      </c>
      <c r="B235" s="6">
        <v>2854</v>
      </c>
      <c r="C235" s="6">
        <v>41.04</v>
      </c>
      <c r="D235" s="6">
        <v>38</v>
      </c>
      <c r="E235" s="6" t="s">
        <v>27</v>
      </c>
      <c r="F235" s="6" t="s">
        <v>11</v>
      </c>
      <c r="G235" s="6" t="s">
        <v>16</v>
      </c>
      <c r="H235" s="6" t="s">
        <v>23</v>
      </c>
      <c r="I235" s="6" t="s">
        <v>21</v>
      </c>
      <c r="J235" s="7">
        <v>769</v>
      </c>
      <c r="K235" t="str">
        <f t="shared" si="6"/>
        <v>Feb</v>
      </c>
      <c r="L235">
        <f t="shared" si="7"/>
        <v>2025</v>
      </c>
    </row>
    <row r="236" spans="1:12" x14ac:dyDescent="0.45">
      <c r="A236" s="13">
        <v>45650</v>
      </c>
      <c r="B236" s="4">
        <v>911</v>
      </c>
      <c r="C236" s="4">
        <v>195.95000000000002</v>
      </c>
      <c r="D236" s="4">
        <v>38</v>
      </c>
      <c r="E236" s="4" t="s">
        <v>27</v>
      </c>
      <c r="F236" s="4" t="s">
        <v>1</v>
      </c>
      <c r="G236" s="4" t="s">
        <v>12</v>
      </c>
      <c r="H236" s="4" t="s">
        <v>13</v>
      </c>
      <c r="I236" s="4" t="s">
        <v>21</v>
      </c>
      <c r="J236" s="5">
        <v>3940</v>
      </c>
      <c r="K236" t="str">
        <f t="shared" si="6"/>
        <v>Dec</v>
      </c>
      <c r="L236">
        <f t="shared" si="7"/>
        <v>2024</v>
      </c>
    </row>
    <row r="237" spans="1:12" x14ac:dyDescent="0.45">
      <c r="A237" s="14">
        <v>45590</v>
      </c>
      <c r="B237" s="6">
        <v>1239</v>
      </c>
      <c r="C237" s="6">
        <v>173.8</v>
      </c>
      <c r="D237" s="6">
        <v>38</v>
      </c>
      <c r="E237" s="6" t="s">
        <v>27</v>
      </c>
      <c r="F237" s="6" t="s">
        <v>1</v>
      </c>
      <c r="G237" s="6" t="s">
        <v>22</v>
      </c>
      <c r="H237" s="6" t="s">
        <v>37</v>
      </c>
      <c r="I237" s="6" t="s">
        <v>24</v>
      </c>
      <c r="J237" s="7">
        <v>3755</v>
      </c>
      <c r="K237" t="str">
        <f t="shared" si="6"/>
        <v>Oct</v>
      </c>
      <c r="L237">
        <f t="shared" si="7"/>
        <v>2024</v>
      </c>
    </row>
    <row r="238" spans="1:12" x14ac:dyDescent="0.45">
      <c r="A238" s="13">
        <v>45565</v>
      </c>
      <c r="B238" s="4">
        <v>2607</v>
      </c>
      <c r="C238" s="4">
        <v>248.05</v>
      </c>
      <c r="D238" s="4">
        <v>39</v>
      </c>
      <c r="E238" s="4" t="s">
        <v>29</v>
      </c>
      <c r="F238" s="4" t="s">
        <v>11</v>
      </c>
      <c r="G238" s="4" t="s">
        <v>22</v>
      </c>
      <c r="H238" s="4" t="s">
        <v>38</v>
      </c>
      <c r="I238" s="4" t="s">
        <v>26</v>
      </c>
      <c r="J238" s="5">
        <v>2218</v>
      </c>
      <c r="K238" t="str">
        <f t="shared" si="6"/>
        <v>Sep</v>
      </c>
      <c r="L238">
        <f t="shared" si="7"/>
        <v>2024</v>
      </c>
    </row>
    <row r="239" spans="1:12" x14ac:dyDescent="0.45">
      <c r="A239" s="14">
        <v>45791</v>
      </c>
      <c r="B239" s="6">
        <v>2713</v>
      </c>
      <c r="C239" s="6">
        <v>45.64</v>
      </c>
      <c r="D239" s="6">
        <v>39</v>
      </c>
      <c r="E239" s="6" t="s">
        <v>10</v>
      </c>
      <c r="F239" s="6" t="s">
        <v>11</v>
      </c>
      <c r="G239" s="6" t="s">
        <v>30</v>
      </c>
      <c r="H239" s="6" t="s">
        <v>25</v>
      </c>
      <c r="I239" s="6" t="s">
        <v>26</v>
      </c>
      <c r="J239" s="7">
        <v>3009</v>
      </c>
      <c r="K239" t="str">
        <f t="shared" si="6"/>
        <v>May</v>
      </c>
      <c r="L239">
        <f t="shared" si="7"/>
        <v>2025</v>
      </c>
    </row>
    <row r="240" spans="1:12" x14ac:dyDescent="0.45">
      <c r="A240" s="13">
        <v>45664</v>
      </c>
      <c r="B240" s="4">
        <v>3843</v>
      </c>
      <c r="C240" s="4">
        <v>144.20000000000002</v>
      </c>
      <c r="D240" s="4">
        <v>39</v>
      </c>
      <c r="E240" s="4" t="s">
        <v>10</v>
      </c>
      <c r="F240" s="4" t="s">
        <v>1</v>
      </c>
      <c r="G240" s="4" t="s">
        <v>30</v>
      </c>
      <c r="H240" s="4" t="s">
        <v>37</v>
      </c>
      <c r="I240" s="4" t="s">
        <v>34</v>
      </c>
      <c r="J240" s="5">
        <v>2354</v>
      </c>
      <c r="K240" t="str">
        <f t="shared" si="6"/>
        <v>Jan</v>
      </c>
      <c r="L240">
        <f t="shared" si="7"/>
        <v>2025</v>
      </c>
    </row>
    <row r="241" spans="1:12" x14ac:dyDescent="0.45">
      <c r="A241" s="14">
        <v>45613</v>
      </c>
      <c r="B241" s="6">
        <v>1419</v>
      </c>
      <c r="C241" s="6">
        <v>40.06</v>
      </c>
      <c r="D241" s="6">
        <v>39</v>
      </c>
      <c r="E241" s="6" t="s">
        <v>10</v>
      </c>
      <c r="F241" s="6" t="s">
        <v>11</v>
      </c>
      <c r="G241" s="6" t="s">
        <v>22</v>
      </c>
      <c r="H241" s="6" t="s">
        <v>33</v>
      </c>
      <c r="I241" s="6" t="s">
        <v>34</v>
      </c>
      <c r="J241" s="7">
        <v>4247</v>
      </c>
      <c r="K241" t="str">
        <f t="shared" si="6"/>
        <v>Nov</v>
      </c>
      <c r="L241">
        <f t="shared" si="7"/>
        <v>2024</v>
      </c>
    </row>
    <row r="242" spans="1:12" x14ac:dyDescent="0.45">
      <c r="A242" s="13">
        <v>45589</v>
      </c>
      <c r="B242" s="4">
        <v>1620</v>
      </c>
      <c r="C242" s="4">
        <v>186.20000000000002</v>
      </c>
      <c r="D242" s="4">
        <v>39</v>
      </c>
      <c r="E242" s="4" t="s">
        <v>19</v>
      </c>
      <c r="F242" s="4" t="s">
        <v>11</v>
      </c>
      <c r="G242" s="4" t="s">
        <v>30</v>
      </c>
      <c r="H242" s="4" t="s">
        <v>37</v>
      </c>
      <c r="I242" s="4" t="s">
        <v>18</v>
      </c>
      <c r="J242" s="5">
        <v>4037</v>
      </c>
      <c r="K242" t="str">
        <f t="shared" si="6"/>
        <v>Oct</v>
      </c>
      <c r="L242">
        <f t="shared" si="7"/>
        <v>2024</v>
      </c>
    </row>
    <row r="243" spans="1:12" x14ac:dyDescent="0.45">
      <c r="A243" s="14">
        <v>45746</v>
      </c>
      <c r="B243" s="6">
        <v>2921</v>
      </c>
      <c r="C243" s="6">
        <v>189.35000000000002</v>
      </c>
      <c r="D243" s="6">
        <v>39</v>
      </c>
      <c r="E243" s="6" t="s">
        <v>27</v>
      </c>
      <c r="F243" s="6" t="s">
        <v>11</v>
      </c>
      <c r="G243" s="6" t="s">
        <v>22</v>
      </c>
      <c r="H243" s="6" t="s">
        <v>28</v>
      </c>
      <c r="I243" s="6" t="s">
        <v>34</v>
      </c>
      <c r="J243" s="7">
        <v>771</v>
      </c>
      <c r="K243" t="str">
        <f t="shared" si="6"/>
        <v>Mar</v>
      </c>
      <c r="L243">
        <f t="shared" si="7"/>
        <v>2025</v>
      </c>
    </row>
    <row r="244" spans="1:12" x14ac:dyDescent="0.45">
      <c r="A244" s="13">
        <v>45538</v>
      </c>
      <c r="B244" s="4">
        <v>2345</v>
      </c>
      <c r="C244" s="4">
        <v>33.68</v>
      </c>
      <c r="D244" s="4">
        <v>39</v>
      </c>
      <c r="E244" s="4" t="s">
        <v>27</v>
      </c>
      <c r="F244" s="4" t="s">
        <v>1</v>
      </c>
      <c r="G244" s="4" t="s">
        <v>16</v>
      </c>
      <c r="H244" s="4" t="s">
        <v>31</v>
      </c>
      <c r="I244" s="4" t="s">
        <v>34</v>
      </c>
      <c r="J244" s="5">
        <v>968</v>
      </c>
      <c r="K244" t="str">
        <f t="shared" si="6"/>
        <v>Sep</v>
      </c>
      <c r="L244">
        <f t="shared" si="7"/>
        <v>2024</v>
      </c>
    </row>
    <row r="245" spans="1:12" x14ac:dyDescent="0.45">
      <c r="A245" s="14">
        <v>45614</v>
      </c>
      <c r="B245" s="6">
        <v>3914</v>
      </c>
      <c r="C245" s="6">
        <v>220.55</v>
      </c>
      <c r="D245" s="6">
        <v>40</v>
      </c>
      <c r="E245" s="6" t="s">
        <v>29</v>
      </c>
      <c r="F245" s="6" t="s">
        <v>15</v>
      </c>
      <c r="G245" s="6" t="s">
        <v>16</v>
      </c>
      <c r="H245" s="6" t="s">
        <v>37</v>
      </c>
      <c r="I245" s="6" t="s">
        <v>24</v>
      </c>
      <c r="J245" s="7">
        <v>3833</v>
      </c>
      <c r="K245" t="str">
        <f t="shared" si="6"/>
        <v>Nov</v>
      </c>
      <c r="L245">
        <f t="shared" si="7"/>
        <v>2024</v>
      </c>
    </row>
    <row r="246" spans="1:12" x14ac:dyDescent="0.45">
      <c r="A246" s="13">
        <v>45601</v>
      </c>
      <c r="B246" s="4">
        <v>3168</v>
      </c>
      <c r="C246" s="4">
        <v>167.8</v>
      </c>
      <c r="D246" s="4">
        <v>40</v>
      </c>
      <c r="E246" s="4" t="s">
        <v>29</v>
      </c>
      <c r="F246" s="4" t="s">
        <v>1</v>
      </c>
      <c r="G246" s="4" t="s">
        <v>30</v>
      </c>
      <c r="H246" s="4" t="s">
        <v>13</v>
      </c>
      <c r="I246" s="4" t="s">
        <v>34</v>
      </c>
      <c r="J246" s="5">
        <v>1016</v>
      </c>
      <c r="K246" t="str">
        <f t="shared" si="6"/>
        <v>Nov</v>
      </c>
      <c r="L246">
        <f t="shared" si="7"/>
        <v>2024</v>
      </c>
    </row>
    <row r="247" spans="1:12" x14ac:dyDescent="0.45">
      <c r="A247" s="14">
        <v>45544</v>
      </c>
      <c r="B247" s="6">
        <v>2558</v>
      </c>
      <c r="C247" s="6">
        <v>17.64</v>
      </c>
      <c r="D247" s="6">
        <v>40</v>
      </c>
      <c r="E247" s="6" t="s">
        <v>29</v>
      </c>
      <c r="F247" s="6" t="s">
        <v>1</v>
      </c>
      <c r="G247" s="6" t="s">
        <v>12</v>
      </c>
      <c r="H247" s="6" t="s">
        <v>25</v>
      </c>
      <c r="I247" s="6" t="s">
        <v>21</v>
      </c>
      <c r="J247" s="7">
        <v>753</v>
      </c>
      <c r="K247" t="str">
        <f t="shared" si="6"/>
        <v>Sep</v>
      </c>
      <c r="L247">
        <f t="shared" si="7"/>
        <v>2024</v>
      </c>
    </row>
    <row r="248" spans="1:12" x14ac:dyDescent="0.45">
      <c r="A248" s="13">
        <v>45789</v>
      </c>
      <c r="B248" s="4">
        <v>3386</v>
      </c>
      <c r="C248" s="4">
        <v>166.5</v>
      </c>
      <c r="D248" s="4">
        <v>40</v>
      </c>
      <c r="E248" s="4" t="s">
        <v>10</v>
      </c>
      <c r="F248" s="4" t="s">
        <v>15</v>
      </c>
      <c r="G248" s="4" t="s">
        <v>22</v>
      </c>
      <c r="H248" s="4" t="s">
        <v>25</v>
      </c>
      <c r="I248" s="4" t="s">
        <v>26</v>
      </c>
      <c r="J248" s="5">
        <v>3463</v>
      </c>
      <c r="K248" t="str">
        <f t="shared" si="6"/>
        <v>May</v>
      </c>
      <c r="L248">
        <f t="shared" si="7"/>
        <v>2025</v>
      </c>
    </row>
    <row r="249" spans="1:12" x14ac:dyDescent="0.45">
      <c r="A249" s="14">
        <v>45609</v>
      </c>
      <c r="B249" s="6">
        <v>1755</v>
      </c>
      <c r="C249" s="6">
        <v>22.96</v>
      </c>
      <c r="D249" s="6">
        <v>40</v>
      </c>
      <c r="E249" s="6" t="s">
        <v>10</v>
      </c>
      <c r="F249" s="6" t="s">
        <v>1</v>
      </c>
      <c r="G249" s="6" t="s">
        <v>22</v>
      </c>
      <c r="H249" s="6" t="s">
        <v>25</v>
      </c>
      <c r="I249" s="6" t="s">
        <v>18</v>
      </c>
      <c r="J249" s="7">
        <v>1021</v>
      </c>
      <c r="K249" t="str">
        <f t="shared" si="6"/>
        <v>Nov</v>
      </c>
      <c r="L249">
        <f t="shared" si="7"/>
        <v>2024</v>
      </c>
    </row>
    <row r="250" spans="1:12" x14ac:dyDescent="0.45">
      <c r="A250" s="13">
        <v>45722</v>
      </c>
      <c r="B250" s="4">
        <v>518</v>
      </c>
      <c r="C250" s="4">
        <v>134.5</v>
      </c>
      <c r="D250" s="4">
        <v>40</v>
      </c>
      <c r="E250" s="4" t="s">
        <v>19</v>
      </c>
      <c r="F250" s="4" t="s">
        <v>1</v>
      </c>
      <c r="G250" s="4" t="s">
        <v>16</v>
      </c>
      <c r="H250" s="4" t="s">
        <v>33</v>
      </c>
      <c r="I250" s="4" t="s">
        <v>21</v>
      </c>
      <c r="J250" s="5">
        <v>3425</v>
      </c>
      <c r="K250" t="str">
        <f t="shared" si="6"/>
        <v>Mar</v>
      </c>
      <c r="L250">
        <f t="shared" si="7"/>
        <v>2025</v>
      </c>
    </row>
    <row r="251" spans="1:12" x14ac:dyDescent="0.45">
      <c r="A251" s="14">
        <v>45461</v>
      </c>
      <c r="B251" s="6">
        <v>3194</v>
      </c>
      <c r="C251" s="6">
        <v>176.70000000000002</v>
      </c>
      <c r="D251" s="6">
        <v>40</v>
      </c>
      <c r="E251" s="6" t="s">
        <v>19</v>
      </c>
      <c r="F251" s="6" t="s">
        <v>1</v>
      </c>
      <c r="G251" s="6" t="s">
        <v>22</v>
      </c>
      <c r="H251" s="6" t="s">
        <v>35</v>
      </c>
      <c r="I251" s="6" t="s">
        <v>26</v>
      </c>
      <c r="J251" s="7">
        <v>2921</v>
      </c>
      <c r="K251" t="str">
        <f t="shared" si="6"/>
        <v>Jun</v>
      </c>
      <c r="L251">
        <f t="shared" si="7"/>
        <v>2024</v>
      </c>
    </row>
    <row r="252" spans="1:12" x14ac:dyDescent="0.45">
      <c r="A252" s="13">
        <v>45517</v>
      </c>
      <c r="B252" s="4">
        <v>1285</v>
      </c>
      <c r="C252" s="4">
        <v>28</v>
      </c>
      <c r="D252" s="4">
        <v>40</v>
      </c>
      <c r="E252" s="4" t="s">
        <v>27</v>
      </c>
      <c r="F252" s="4" t="s">
        <v>15</v>
      </c>
      <c r="G252" s="4" t="s">
        <v>12</v>
      </c>
      <c r="H252" s="4" t="s">
        <v>33</v>
      </c>
      <c r="I252" s="4" t="s">
        <v>14</v>
      </c>
      <c r="J252" s="5">
        <v>1289</v>
      </c>
      <c r="K252" t="str">
        <f t="shared" si="6"/>
        <v>Aug</v>
      </c>
      <c r="L252">
        <f t="shared" si="7"/>
        <v>2024</v>
      </c>
    </row>
    <row r="253" spans="1:12" x14ac:dyDescent="0.45">
      <c r="A253" s="14">
        <v>45783</v>
      </c>
      <c r="B253" s="6">
        <v>1669</v>
      </c>
      <c r="C253" s="6">
        <v>249.3</v>
      </c>
      <c r="D253" s="6">
        <v>41</v>
      </c>
      <c r="E253" s="6" t="s">
        <v>29</v>
      </c>
      <c r="F253" s="6" t="s">
        <v>1</v>
      </c>
      <c r="G253" s="6" t="s">
        <v>12</v>
      </c>
      <c r="H253" s="6" t="s">
        <v>37</v>
      </c>
      <c r="I253" s="6" t="s">
        <v>18</v>
      </c>
      <c r="J253" s="7">
        <v>3981</v>
      </c>
      <c r="K253" t="str">
        <f t="shared" si="6"/>
        <v>May</v>
      </c>
      <c r="L253">
        <f t="shared" si="7"/>
        <v>2025</v>
      </c>
    </row>
    <row r="254" spans="1:12" x14ac:dyDescent="0.45">
      <c r="A254" s="13">
        <v>45564</v>
      </c>
      <c r="B254" s="4">
        <v>1395</v>
      </c>
      <c r="C254" s="4">
        <v>49.86</v>
      </c>
      <c r="D254" s="4">
        <v>41</v>
      </c>
      <c r="E254" s="4" t="s">
        <v>29</v>
      </c>
      <c r="F254" s="4" t="s">
        <v>15</v>
      </c>
      <c r="G254" s="4" t="s">
        <v>12</v>
      </c>
      <c r="H254" s="4" t="s">
        <v>36</v>
      </c>
      <c r="I254" s="4" t="s">
        <v>24</v>
      </c>
      <c r="J254" s="5">
        <v>2414</v>
      </c>
      <c r="K254" t="str">
        <f t="shared" si="6"/>
        <v>Sep</v>
      </c>
      <c r="L254">
        <f t="shared" si="7"/>
        <v>2024</v>
      </c>
    </row>
    <row r="255" spans="1:12" x14ac:dyDescent="0.45">
      <c r="A255" s="14">
        <v>45499</v>
      </c>
      <c r="B255" s="6">
        <v>3584</v>
      </c>
      <c r="C255" s="6">
        <v>165.8</v>
      </c>
      <c r="D255" s="6">
        <v>41</v>
      </c>
      <c r="E255" s="6" t="s">
        <v>29</v>
      </c>
      <c r="F255" s="6" t="s">
        <v>11</v>
      </c>
      <c r="G255" s="6" t="s">
        <v>30</v>
      </c>
      <c r="H255" s="6" t="s">
        <v>20</v>
      </c>
      <c r="I255" s="6" t="s">
        <v>18</v>
      </c>
      <c r="J255" s="7">
        <v>1562</v>
      </c>
      <c r="K255" t="str">
        <f t="shared" si="6"/>
        <v>Jul</v>
      </c>
      <c r="L255">
        <f t="shared" si="7"/>
        <v>2024</v>
      </c>
    </row>
    <row r="256" spans="1:12" x14ac:dyDescent="0.45">
      <c r="A256" s="13">
        <v>45751</v>
      </c>
      <c r="B256" s="4">
        <v>2379</v>
      </c>
      <c r="C256" s="4">
        <v>240.05</v>
      </c>
      <c r="D256" s="4">
        <v>41</v>
      </c>
      <c r="E256" s="4" t="s">
        <v>10</v>
      </c>
      <c r="F256" s="4" t="s">
        <v>1</v>
      </c>
      <c r="G256" s="4" t="s">
        <v>16</v>
      </c>
      <c r="H256" s="4" t="s">
        <v>38</v>
      </c>
      <c r="I256" s="4" t="s">
        <v>34</v>
      </c>
      <c r="J256" s="5">
        <v>3717</v>
      </c>
      <c r="K256" t="str">
        <f t="shared" si="6"/>
        <v>Apr</v>
      </c>
      <c r="L256">
        <f t="shared" si="7"/>
        <v>2025</v>
      </c>
    </row>
    <row r="257" spans="1:12" x14ac:dyDescent="0.45">
      <c r="A257" s="14">
        <v>45516</v>
      </c>
      <c r="B257" s="6">
        <v>1157</v>
      </c>
      <c r="C257" s="6">
        <v>22.38</v>
      </c>
      <c r="D257" s="6">
        <v>41</v>
      </c>
      <c r="E257" s="6" t="s">
        <v>10</v>
      </c>
      <c r="F257" s="6" t="s">
        <v>15</v>
      </c>
      <c r="G257" s="6" t="s">
        <v>30</v>
      </c>
      <c r="H257" s="6" t="s">
        <v>25</v>
      </c>
      <c r="I257" s="6" t="s">
        <v>34</v>
      </c>
      <c r="J257" s="7">
        <v>3399</v>
      </c>
      <c r="K257" t="str">
        <f t="shared" si="6"/>
        <v>Aug</v>
      </c>
      <c r="L257">
        <f t="shared" si="7"/>
        <v>2024</v>
      </c>
    </row>
    <row r="258" spans="1:12" x14ac:dyDescent="0.45">
      <c r="A258" s="13">
        <v>45779</v>
      </c>
      <c r="B258" s="4">
        <v>2894</v>
      </c>
      <c r="C258" s="4">
        <v>197.35000000000002</v>
      </c>
      <c r="D258" s="4">
        <v>41</v>
      </c>
      <c r="E258" s="4" t="s">
        <v>19</v>
      </c>
      <c r="F258" s="4" t="s">
        <v>15</v>
      </c>
      <c r="G258" s="4" t="s">
        <v>12</v>
      </c>
      <c r="H258" s="4" t="s">
        <v>35</v>
      </c>
      <c r="I258" s="4" t="s">
        <v>24</v>
      </c>
      <c r="J258" s="5">
        <v>2971</v>
      </c>
      <c r="K258" t="str">
        <f t="shared" si="6"/>
        <v>May</v>
      </c>
      <c r="L258">
        <f t="shared" si="7"/>
        <v>2025</v>
      </c>
    </row>
    <row r="259" spans="1:12" x14ac:dyDescent="0.45">
      <c r="A259" s="14">
        <v>45777</v>
      </c>
      <c r="B259" s="6">
        <v>1787</v>
      </c>
      <c r="C259" s="6">
        <v>158.9</v>
      </c>
      <c r="D259" s="6">
        <v>41</v>
      </c>
      <c r="E259" s="6" t="s">
        <v>19</v>
      </c>
      <c r="F259" s="6" t="s">
        <v>15</v>
      </c>
      <c r="G259" s="6" t="s">
        <v>22</v>
      </c>
      <c r="H259" s="6" t="s">
        <v>32</v>
      </c>
      <c r="I259" s="6" t="s">
        <v>26</v>
      </c>
      <c r="J259" s="7">
        <v>2055</v>
      </c>
      <c r="K259" t="str">
        <f t="shared" ref="K259:K322" si="8">TEXT(A259,"mmm")</f>
        <v>Apr</v>
      </c>
      <c r="L259">
        <f t="shared" ref="L259:L322" si="9">YEAR(A259)</f>
        <v>2025</v>
      </c>
    </row>
    <row r="260" spans="1:12" x14ac:dyDescent="0.45">
      <c r="A260" s="13">
        <v>45763</v>
      </c>
      <c r="B260" s="4">
        <v>3451</v>
      </c>
      <c r="C260" s="4">
        <v>174.45000000000002</v>
      </c>
      <c r="D260" s="4">
        <v>41</v>
      </c>
      <c r="E260" s="4" t="s">
        <v>19</v>
      </c>
      <c r="F260" s="4" t="s">
        <v>11</v>
      </c>
      <c r="G260" s="4" t="s">
        <v>12</v>
      </c>
      <c r="H260" s="4" t="s">
        <v>38</v>
      </c>
      <c r="I260" s="4" t="s">
        <v>18</v>
      </c>
      <c r="J260" s="5">
        <v>4296</v>
      </c>
      <c r="K260" t="str">
        <f t="shared" si="8"/>
        <v>Apr</v>
      </c>
      <c r="L260">
        <f t="shared" si="9"/>
        <v>2025</v>
      </c>
    </row>
    <row r="261" spans="1:12" x14ac:dyDescent="0.45">
      <c r="A261" s="14">
        <v>45745</v>
      </c>
      <c r="B261" s="6">
        <v>1348</v>
      </c>
      <c r="C261" s="6">
        <v>33.1</v>
      </c>
      <c r="D261" s="6">
        <v>41</v>
      </c>
      <c r="E261" s="6" t="s">
        <v>19</v>
      </c>
      <c r="F261" s="6" t="s">
        <v>11</v>
      </c>
      <c r="G261" s="6" t="s">
        <v>12</v>
      </c>
      <c r="H261" s="6" t="s">
        <v>25</v>
      </c>
      <c r="I261" s="6" t="s">
        <v>24</v>
      </c>
      <c r="J261" s="7">
        <v>2457</v>
      </c>
      <c r="K261" t="str">
        <f t="shared" si="8"/>
        <v>Mar</v>
      </c>
      <c r="L261">
        <f t="shared" si="9"/>
        <v>2025</v>
      </c>
    </row>
    <row r="262" spans="1:12" x14ac:dyDescent="0.45">
      <c r="A262" s="13">
        <v>45620</v>
      </c>
      <c r="B262" s="4">
        <v>3689</v>
      </c>
      <c r="C262" s="4">
        <v>140.6</v>
      </c>
      <c r="D262" s="4">
        <v>41</v>
      </c>
      <c r="E262" s="4" t="s">
        <v>19</v>
      </c>
      <c r="F262" s="4" t="s">
        <v>11</v>
      </c>
      <c r="G262" s="4" t="s">
        <v>16</v>
      </c>
      <c r="H262" s="4" t="s">
        <v>31</v>
      </c>
      <c r="I262" s="4" t="s">
        <v>14</v>
      </c>
      <c r="J262" s="5">
        <v>1390</v>
      </c>
      <c r="K262" t="str">
        <f t="shared" si="8"/>
        <v>Nov</v>
      </c>
      <c r="L262">
        <f t="shared" si="9"/>
        <v>2024</v>
      </c>
    </row>
    <row r="263" spans="1:12" x14ac:dyDescent="0.45">
      <c r="A263" s="14">
        <v>45459</v>
      </c>
      <c r="B263" s="6">
        <v>3144</v>
      </c>
      <c r="C263" s="6">
        <v>218.9</v>
      </c>
      <c r="D263" s="6">
        <v>41</v>
      </c>
      <c r="E263" s="6" t="s">
        <v>19</v>
      </c>
      <c r="F263" s="6" t="s">
        <v>1</v>
      </c>
      <c r="G263" s="6" t="s">
        <v>12</v>
      </c>
      <c r="H263" s="6" t="s">
        <v>20</v>
      </c>
      <c r="I263" s="6" t="s">
        <v>26</v>
      </c>
      <c r="J263" s="7">
        <v>504</v>
      </c>
      <c r="K263" t="str">
        <f t="shared" si="8"/>
        <v>Jun</v>
      </c>
      <c r="L263">
        <f t="shared" si="9"/>
        <v>2024</v>
      </c>
    </row>
    <row r="264" spans="1:12" x14ac:dyDescent="0.45">
      <c r="A264" s="13">
        <v>45520</v>
      </c>
      <c r="B264" s="4">
        <v>1971</v>
      </c>
      <c r="C264" s="4">
        <v>183.70000000000002</v>
      </c>
      <c r="D264" s="4">
        <v>41</v>
      </c>
      <c r="E264" s="4" t="s">
        <v>27</v>
      </c>
      <c r="F264" s="4" t="s">
        <v>15</v>
      </c>
      <c r="G264" s="4" t="s">
        <v>16</v>
      </c>
      <c r="H264" s="4" t="s">
        <v>32</v>
      </c>
      <c r="I264" s="4" t="s">
        <v>34</v>
      </c>
      <c r="J264" s="5">
        <v>3646</v>
      </c>
      <c r="K264" t="str">
        <f t="shared" si="8"/>
        <v>Aug</v>
      </c>
      <c r="L264">
        <f t="shared" si="9"/>
        <v>2024</v>
      </c>
    </row>
    <row r="265" spans="1:12" x14ac:dyDescent="0.45">
      <c r="A265" s="14">
        <v>45700</v>
      </c>
      <c r="B265" s="6">
        <v>2533</v>
      </c>
      <c r="C265" s="6">
        <v>30.26</v>
      </c>
      <c r="D265" s="6">
        <v>42</v>
      </c>
      <c r="E265" s="6" t="s">
        <v>29</v>
      </c>
      <c r="F265" s="6" t="s">
        <v>15</v>
      </c>
      <c r="G265" s="6" t="s">
        <v>30</v>
      </c>
      <c r="H265" s="6" t="s">
        <v>28</v>
      </c>
      <c r="I265" s="6" t="s">
        <v>34</v>
      </c>
      <c r="J265" s="7">
        <v>2616</v>
      </c>
      <c r="K265" t="str">
        <f t="shared" si="8"/>
        <v>Feb</v>
      </c>
      <c r="L265">
        <f t="shared" si="9"/>
        <v>2025</v>
      </c>
    </row>
    <row r="266" spans="1:12" x14ac:dyDescent="0.45">
      <c r="A266" s="13">
        <v>45593</v>
      </c>
      <c r="B266" s="4">
        <v>666</v>
      </c>
      <c r="C266" s="4">
        <v>230.8</v>
      </c>
      <c r="D266" s="4">
        <v>42</v>
      </c>
      <c r="E266" s="4" t="s">
        <v>29</v>
      </c>
      <c r="F266" s="4" t="s">
        <v>15</v>
      </c>
      <c r="G266" s="4" t="s">
        <v>12</v>
      </c>
      <c r="H266" s="4" t="s">
        <v>35</v>
      </c>
      <c r="I266" s="4" t="s">
        <v>24</v>
      </c>
      <c r="J266" s="5">
        <v>2610</v>
      </c>
      <c r="K266" t="str">
        <f t="shared" si="8"/>
        <v>Oct</v>
      </c>
      <c r="L266">
        <f t="shared" si="9"/>
        <v>2024</v>
      </c>
    </row>
    <row r="267" spans="1:12" x14ac:dyDescent="0.45">
      <c r="A267" s="14">
        <v>45515</v>
      </c>
      <c r="B267" s="6">
        <v>3665</v>
      </c>
      <c r="C267" s="6">
        <v>23.5</v>
      </c>
      <c r="D267" s="6">
        <v>42</v>
      </c>
      <c r="E267" s="6" t="s">
        <v>29</v>
      </c>
      <c r="F267" s="6" t="s">
        <v>15</v>
      </c>
      <c r="G267" s="6" t="s">
        <v>22</v>
      </c>
      <c r="H267" s="6" t="s">
        <v>36</v>
      </c>
      <c r="I267" s="6" t="s">
        <v>26</v>
      </c>
      <c r="J267" s="7">
        <v>1603</v>
      </c>
      <c r="K267" t="str">
        <f t="shared" si="8"/>
        <v>Aug</v>
      </c>
      <c r="L267">
        <f t="shared" si="9"/>
        <v>2024</v>
      </c>
    </row>
    <row r="268" spans="1:12" x14ac:dyDescent="0.45">
      <c r="A268" s="13">
        <v>45465</v>
      </c>
      <c r="B268" s="4">
        <v>3112</v>
      </c>
      <c r="C268" s="4">
        <v>24.32</v>
      </c>
      <c r="D268" s="4">
        <v>42</v>
      </c>
      <c r="E268" s="4" t="s">
        <v>10</v>
      </c>
      <c r="F268" s="4" t="s">
        <v>11</v>
      </c>
      <c r="G268" s="4" t="s">
        <v>12</v>
      </c>
      <c r="H268" s="4" t="s">
        <v>13</v>
      </c>
      <c r="I268" s="4" t="s">
        <v>18</v>
      </c>
      <c r="J268" s="5">
        <v>3208</v>
      </c>
      <c r="K268" t="str">
        <f t="shared" si="8"/>
        <v>Jun</v>
      </c>
      <c r="L268">
        <f t="shared" si="9"/>
        <v>2024</v>
      </c>
    </row>
    <row r="269" spans="1:12" x14ac:dyDescent="0.45">
      <c r="A269" s="14">
        <v>45671</v>
      </c>
      <c r="B269" s="6">
        <v>3667</v>
      </c>
      <c r="C269" s="6">
        <v>41.34</v>
      </c>
      <c r="D269" s="6">
        <v>42</v>
      </c>
      <c r="E269" s="6" t="s">
        <v>19</v>
      </c>
      <c r="F269" s="6" t="s">
        <v>1</v>
      </c>
      <c r="G269" s="6" t="s">
        <v>12</v>
      </c>
      <c r="H269" s="6" t="s">
        <v>38</v>
      </c>
      <c r="I269" s="6" t="s">
        <v>21</v>
      </c>
      <c r="J269" s="7">
        <v>2692</v>
      </c>
      <c r="K269" t="str">
        <f t="shared" si="8"/>
        <v>Jan</v>
      </c>
      <c r="L269">
        <f t="shared" si="9"/>
        <v>2025</v>
      </c>
    </row>
    <row r="270" spans="1:12" x14ac:dyDescent="0.45">
      <c r="A270" s="13">
        <v>45605</v>
      </c>
      <c r="B270" s="4">
        <v>564</v>
      </c>
      <c r="C270" s="4">
        <v>215.95000000000002</v>
      </c>
      <c r="D270" s="4">
        <v>42</v>
      </c>
      <c r="E270" s="4" t="s">
        <v>19</v>
      </c>
      <c r="F270" s="4" t="s">
        <v>1</v>
      </c>
      <c r="G270" s="4" t="s">
        <v>22</v>
      </c>
      <c r="H270" s="4" t="s">
        <v>36</v>
      </c>
      <c r="I270" s="4" t="s">
        <v>24</v>
      </c>
      <c r="J270" s="5">
        <v>684</v>
      </c>
      <c r="K270" t="str">
        <f t="shared" si="8"/>
        <v>Nov</v>
      </c>
      <c r="L270">
        <f t="shared" si="9"/>
        <v>2024</v>
      </c>
    </row>
    <row r="271" spans="1:12" x14ac:dyDescent="0.45">
      <c r="A271" s="14">
        <v>45487</v>
      </c>
      <c r="B271" s="6">
        <v>2422</v>
      </c>
      <c r="C271" s="6">
        <v>213.45000000000002</v>
      </c>
      <c r="D271" s="6">
        <v>42</v>
      </c>
      <c r="E271" s="6" t="s">
        <v>19</v>
      </c>
      <c r="F271" s="6" t="s">
        <v>1</v>
      </c>
      <c r="G271" s="6" t="s">
        <v>30</v>
      </c>
      <c r="H271" s="6" t="s">
        <v>35</v>
      </c>
      <c r="I271" s="6" t="s">
        <v>14</v>
      </c>
      <c r="J271" s="7">
        <v>1493</v>
      </c>
      <c r="K271" t="str">
        <f t="shared" si="8"/>
        <v>Jul</v>
      </c>
      <c r="L271">
        <f t="shared" si="9"/>
        <v>2024</v>
      </c>
    </row>
    <row r="272" spans="1:12" x14ac:dyDescent="0.45">
      <c r="A272" s="13">
        <v>45476</v>
      </c>
      <c r="B272" s="4">
        <v>3423</v>
      </c>
      <c r="C272" s="4">
        <v>20.38</v>
      </c>
      <c r="D272" s="4">
        <v>42</v>
      </c>
      <c r="E272" s="4" t="s">
        <v>19</v>
      </c>
      <c r="F272" s="4" t="s">
        <v>11</v>
      </c>
      <c r="G272" s="4" t="s">
        <v>30</v>
      </c>
      <c r="H272" s="4" t="s">
        <v>32</v>
      </c>
      <c r="I272" s="4" t="s">
        <v>26</v>
      </c>
      <c r="J272" s="5">
        <v>2343</v>
      </c>
      <c r="K272" t="str">
        <f t="shared" si="8"/>
        <v>Jul</v>
      </c>
      <c r="L272">
        <f t="shared" si="9"/>
        <v>2024</v>
      </c>
    </row>
    <row r="273" spans="1:12" x14ac:dyDescent="0.45">
      <c r="A273" s="14">
        <v>45597</v>
      </c>
      <c r="B273" s="6">
        <v>2732</v>
      </c>
      <c r="C273" s="6">
        <v>174.05</v>
      </c>
      <c r="D273" s="6">
        <v>42</v>
      </c>
      <c r="E273" s="6" t="s">
        <v>27</v>
      </c>
      <c r="F273" s="6" t="s">
        <v>15</v>
      </c>
      <c r="G273" s="6" t="s">
        <v>16</v>
      </c>
      <c r="H273" s="6" t="s">
        <v>35</v>
      </c>
      <c r="I273" s="6" t="s">
        <v>21</v>
      </c>
      <c r="J273" s="7">
        <v>2933</v>
      </c>
      <c r="K273" t="str">
        <f t="shared" si="8"/>
        <v>Nov</v>
      </c>
      <c r="L273">
        <f t="shared" si="9"/>
        <v>2024</v>
      </c>
    </row>
    <row r="274" spans="1:12" x14ac:dyDescent="0.45">
      <c r="A274" s="13">
        <v>45595</v>
      </c>
      <c r="B274" s="4">
        <v>3320</v>
      </c>
      <c r="C274" s="4">
        <v>223.5</v>
      </c>
      <c r="D274" s="4">
        <v>42</v>
      </c>
      <c r="E274" s="4" t="s">
        <v>27</v>
      </c>
      <c r="F274" s="4" t="s">
        <v>15</v>
      </c>
      <c r="G274" s="4" t="s">
        <v>22</v>
      </c>
      <c r="H274" s="4" t="s">
        <v>23</v>
      </c>
      <c r="I274" s="4" t="s">
        <v>18</v>
      </c>
      <c r="J274" s="5">
        <v>983</v>
      </c>
      <c r="K274" t="str">
        <f t="shared" si="8"/>
        <v>Oct</v>
      </c>
      <c r="L274">
        <f t="shared" si="9"/>
        <v>2024</v>
      </c>
    </row>
    <row r="275" spans="1:12" x14ac:dyDescent="0.45">
      <c r="A275" s="14">
        <v>45489</v>
      </c>
      <c r="B275" s="6">
        <v>3077</v>
      </c>
      <c r="C275" s="6">
        <v>242.3</v>
      </c>
      <c r="D275" s="6">
        <v>42</v>
      </c>
      <c r="E275" s="6" t="s">
        <v>27</v>
      </c>
      <c r="F275" s="6" t="s">
        <v>11</v>
      </c>
      <c r="G275" s="6" t="s">
        <v>12</v>
      </c>
      <c r="H275" s="6" t="s">
        <v>17</v>
      </c>
      <c r="I275" s="6" t="s">
        <v>21</v>
      </c>
      <c r="J275" s="7">
        <v>3715</v>
      </c>
      <c r="K275" t="str">
        <f t="shared" si="8"/>
        <v>Jul</v>
      </c>
      <c r="L275">
        <f t="shared" si="9"/>
        <v>2024</v>
      </c>
    </row>
    <row r="276" spans="1:12" x14ac:dyDescent="0.45">
      <c r="A276" s="13">
        <v>45453</v>
      </c>
      <c r="B276" s="4">
        <v>3694</v>
      </c>
      <c r="C276" s="4">
        <v>47.78</v>
      </c>
      <c r="D276" s="4">
        <v>42</v>
      </c>
      <c r="E276" s="4" t="s">
        <v>27</v>
      </c>
      <c r="F276" s="4" t="s">
        <v>15</v>
      </c>
      <c r="G276" s="4" t="s">
        <v>12</v>
      </c>
      <c r="H276" s="4" t="s">
        <v>33</v>
      </c>
      <c r="I276" s="4" t="s">
        <v>18</v>
      </c>
      <c r="J276" s="5">
        <v>2486</v>
      </c>
      <c r="K276" t="str">
        <f t="shared" si="8"/>
        <v>Jun</v>
      </c>
      <c r="L276">
        <f t="shared" si="9"/>
        <v>2024</v>
      </c>
    </row>
    <row r="277" spans="1:12" x14ac:dyDescent="0.45">
      <c r="A277" s="14">
        <v>45582</v>
      </c>
      <c r="B277" s="6">
        <v>1220</v>
      </c>
      <c r="C277" s="6">
        <v>218.3</v>
      </c>
      <c r="D277" s="6">
        <v>43</v>
      </c>
      <c r="E277" s="6" t="s">
        <v>29</v>
      </c>
      <c r="F277" s="6" t="s">
        <v>1</v>
      </c>
      <c r="G277" s="6" t="s">
        <v>30</v>
      </c>
      <c r="H277" s="6" t="s">
        <v>17</v>
      </c>
      <c r="I277" s="6" t="s">
        <v>26</v>
      </c>
      <c r="J277" s="7">
        <v>832</v>
      </c>
      <c r="K277" t="str">
        <f t="shared" si="8"/>
        <v>Oct</v>
      </c>
      <c r="L277">
        <f t="shared" si="9"/>
        <v>2024</v>
      </c>
    </row>
    <row r="278" spans="1:12" x14ac:dyDescent="0.45">
      <c r="A278" s="13">
        <v>45494</v>
      </c>
      <c r="B278" s="4">
        <v>1023</v>
      </c>
      <c r="C278" s="4">
        <v>160.10000000000002</v>
      </c>
      <c r="D278" s="4">
        <v>43</v>
      </c>
      <c r="E278" s="4" t="s">
        <v>29</v>
      </c>
      <c r="F278" s="4" t="s">
        <v>11</v>
      </c>
      <c r="G278" s="4" t="s">
        <v>16</v>
      </c>
      <c r="H278" s="4" t="s">
        <v>35</v>
      </c>
      <c r="I278" s="4" t="s">
        <v>21</v>
      </c>
      <c r="J278" s="5">
        <v>3691</v>
      </c>
      <c r="K278" t="str">
        <f t="shared" si="8"/>
        <v>Jul</v>
      </c>
      <c r="L278">
        <f t="shared" si="9"/>
        <v>2024</v>
      </c>
    </row>
    <row r="279" spans="1:12" x14ac:dyDescent="0.45">
      <c r="A279" s="14">
        <v>45685</v>
      </c>
      <c r="B279" s="6">
        <v>1695</v>
      </c>
      <c r="C279" s="6">
        <v>219.35000000000002</v>
      </c>
      <c r="D279" s="6">
        <v>43</v>
      </c>
      <c r="E279" s="6" t="s">
        <v>10</v>
      </c>
      <c r="F279" s="6" t="s">
        <v>1</v>
      </c>
      <c r="G279" s="6" t="s">
        <v>30</v>
      </c>
      <c r="H279" s="6" t="s">
        <v>20</v>
      </c>
      <c r="I279" s="6" t="s">
        <v>24</v>
      </c>
      <c r="J279" s="7">
        <v>1783</v>
      </c>
      <c r="K279" t="str">
        <f t="shared" si="8"/>
        <v>Jan</v>
      </c>
      <c r="L279">
        <f t="shared" si="9"/>
        <v>2025</v>
      </c>
    </row>
    <row r="280" spans="1:12" x14ac:dyDescent="0.45">
      <c r="A280" s="13">
        <v>45580</v>
      </c>
      <c r="B280" s="4">
        <v>3165</v>
      </c>
      <c r="C280" s="4">
        <v>47.84</v>
      </c>
      <c r="D280" s="4">
        <v>43</v>
      </c>
      <c r="E280" s="4" t="s">
        <v>10</v>
      </c>
      <c r="F280" s="4" t="s">
        <v>15</v>
      </c>
      <c r="G280" s="4" t="s">
        <v>22</v>
      </c>
      <c r="H280" s="4" t="s">
        <v>17</v>
      </c>
      <c r="I280" s="4" t="s">
        <v>21</v>
      </c>
      <c r="J280" s="5">
        <v>1370</v>
      </c>
      <c r="K280" t="str">
        <f t="shared" si="8"/>
        <v>Oct</v>
      </c>
      <c r="L280">
        <f t="shared" si="9"/>
        <v>2024</v>
      </c>
    </row>
    <row r="281" spans="1:12" x14ac:dyDescent="0.45">
      <c r="A281" s="14">
        <v>45748</v>
      </c>
      <c r="B281" s="6">
        <v>533</v>
      </c>
      <c r="C281" s="6">
        <v>244.8</v>
      </c>
      <c r="D281" s="6">
        <v>43</v>
      </c>
      <c r="E281" s="6" t="s">
        <v>19</v>
      </c>
      <c r="F281" s="6" t="s">
        <v>11</v>
      </c>
      <c r="G281" s="6" t="s">
        <v>16</v>
      </c>
      <c r="H281" s="6" t="s">
        <v>13</v>
      </c>
      <c r="I281" s="6" t="s">
        <v>21</v>
      </c>
      <c r="J281" s="7">
        <v>2766</v>
      </c>
      <c r="K281" t="str">
        <f t="shared" si="8"/>
        <v>Apr</v>
      </c>
      <c r="L281">
        <f t="shared" si="9"/>
        <v>2025</v>
      </c>
    </row>
    <row r="282" spans="1:12" x14ac:dyDescent="0.45">
      <c r="A282" s="13">
        <v>45787</v>
      </c>
      <c r="B282" s="4">
        <v>1174</v>
      </c>
      <c r="C282" s="4">
        <v>44</v>
      </c>
      <c r="D282" s="4">
        <v>43</v>
      </c>
      <c r="E282" s="4" t="s">
        <v>27</v>
      </c>
      <c r="F282" s="4" t="s">
        <v>1</v>
      </c>
      <c r="G282" s="4" t="s">
        <v>22</v>
      </c>
      <c r="H282" s="4" t="s">
        <v>31</v>
      </c>
      <c r="I282" s="4" t="s">
        <v>21</v>
      </c>
      <c r="J282" s="5">
        <v>2150</v>
      </c>
      <c r="K282" t="str">
        <f t="shared" si="8"/>
        <v>May</v>
      </c>
      <c r="L282">
        <f t="shared" si="9"/>
        <v>2025</v>
      </c>
    </row>
    <row r="283" spans="1:12" x14ac:dyDescent="0.45">
      <c r="A283" s="14">
        <v>45702</v>
      </c>
      <c r="B283" s="6">
        <v>3047</v>
      </c>
      <c r="C283" s="6">
        <v>149.9</v>
      </c>
      <c r="D283" s="6">
        <v>43</v>
      </c>
      <c r="E283" s="6" t="s">
        <v>27</v>
      </c>
      <c r="F283" s="6" t="s">
        <v>11</v>
      </c>
      <c r="G283" s="6" t="s">
        <v>12</v>
      </c>
      <c r="H283" s="6" t="s">
        <v>17</v>
      </c>
      <c r="I283" s="6" t="s">
        <v>18</v>
      </c>
      <c r="J283" s="7">
        <v>650</v>
      </c>
      <c r="K283" t="str">
        <f t="shared" si="8"/>
        <v>Feb</v>
      </c>
      <c r="L283">
        <f t="shared" si="9"/>
        <v>2025</v>
      </c>
    </row>
    <row r="284" spans="1:12" x14ac:dyDescent="0.45">
      <c r="A284" s="13">
        <v>45698</v>
      </c>
      <c r="B284" s="4">
        <v>3630</v>
      </c>
      <c r="C284" s="4">
        <v>166.4</v>
      </c>
      <c r="D284" s="4">
        <v>43</v>
      </c>
      <c r="E284" s="4" t="s">
        <v>27</v>
      </c>
      <c r="F284" s="4" t="s">
        <v>11</v>
      </c>
      <c r="G284" s="4" t="s">
        <v>30</v>
      </c>
      <c r="H284" s="4" t="s">
        <v>38</v>
      </c>
      <c r="I284" s="4" t="s">
        <v>26</v>
      </c>
      <c r="J284" s="5">
        <v>1998</v>
      </c>
      <c r="K284" t="str">
        <f t="shared" si="8"/>
        <v>Feb</v>
      </c>
      <c r="L284">
        <f t="shared" si="9"/>
        <v>2025</v>
      </c>
    </row>
    <row r="285" spans="1:12" x14ac:dyDescent="0.45">
      <c r="A285" s="14">
        <v>45668</v>
      </c>
      <c r="B285" s="6">
        <v>3975</v>
      </c>
      <c r="C285" s="6">
        <v>196.20000000000002</v>
      </c>
      <c r="D285" s="6">
        <v>43</v>
      </c>
      <c r="E285" s="6" t="s">
        <v>27</v>
      </c>
      <c r="F285" s="6" t="s">
        <v>15</v>
      </c>
      <c r="G285" s="6" t="s">
        <v>16</v>
      </c>
      <c r="H285" s="6" t="s">
        <v>37</v>
      </c>
      <c r="I285" s="6" t="s">
        <v>21</v>
      </c>
      <c r="J285" s="7">
        <v>1923</v>
      </c>
      <c r="K285" t="str">
        <f t="shared" si="8"/>
        <v>Jan</v>
      </c>
      <c r="L285">
        <f t="shared" si="9"/>
        <v>2025</v>
      </c>
    </row>
    <row r="286" spans="1:12" x14ac:dyDescent="0.45">
      <c r="A286" s="13">
        <v>45662</v>
      </c>
      <c r="B286" s="4">
        <v>2387</v>
      </c>
      <c r="C286" s="4">
        <v>31.42</v>
      </c>
      <c r="D286" s="4">
        <v>43</v>
      </c>
      <c r="E286" s="4" t="s">
        <v>27</v>
      </c>
      <c r="F286" s="4" t="s">
        <v>11</v>
      </c>
      <c r="G286" s="4" t="s">
        <v>30</v>
      </c>
      <c r="H286" s="4" t="s">
        <v>36</v>
      </c>
      <c r="I286" s="4" t="s">
        <v>34</v>
      </c>
      <c r="J286" s="5">
        <v>2602</v>
      </c>
      <c r="K286" t="str">
        <f t="shared" si="8"/>
        <v>Jan</v>
      </c>
      <c r="L286">
        <f t="shared" si="9"/>
        <v>2025</v>
      </c>
    </row>
    <row r="287" spans="1:12" x14ac:dyDescent="0.45">
      <c r="A287" s="14">
        <v>45658</v>
      </c>
      <c r="B287" s="6">
        <v>3037</v>
      </c>
      <c r="C287" s="6">
        <v>25.26</v>
      </c>
      <c r="D287" s="6">
        <v>43</v>
      </c>
      <c r="E287" s="6" t="s">
        <v>27</v>
      </c>
      <c r="F287" s="6" t="s">
        <v>15</v>
      </c>
      <c r="G287" s="6" t="s">
        <v>16</v>
      </c>
      <c r="H287" s="6" t="s">
        <v>17</v>
      </c>
      <c r="I287" s="6" t="s">
        <v>24</v>
      </c>
      <c r="J287" s="7">
        <v>2570</v>
      </c>
      <c r="K287" t="str">
        <f t="shared" si="8"/>
        <v>Jan</v>
      </c>
      <c r="L287">
        <f t="shared" si="9"/>
        <v>2025</v>
      </c>
    </row>
    <row r="288" spans="1:12" x14ac:dyDescent="0.45">
      <c r="A288" s="13">
        <v>45638</v>
      </c>
      <c r="B288" s="4">
        <v>783</v>
      </c>
      <c r="C288" s="4">
        <v>244</v>
      </c>
      <c r="D288" s="4">
        <v>43</v>
      </c>
      <c r="E288" s="4" t="s">
        <v>27</v>
      </c>
      <c r="F288" s="4" t="s">
        <v>11</v>
      </c>
      <c r="G288" s="4" t="s">
        <v>12</v>
      </c>
      <c r="H288" s="4" t="s">
        <v>36</v>
      </c>
      <c r="I288" s="4" t="s">
        <v>24</v>
      </c>
      <c r="J288" s="5">
        <v>3135</v>
      </c>
      <c r="K288" t="str">
        <f t="shared" si="8"/>
        <v>Dec</v>
      </c>
      <c r="L288">
        <f t="shared" si="9"/>
        <v>2024</v>
      </c>
    </row>
    <row r="289" spans="1:12" x14ac:dyDescent="0.45">
      <c r="A289" s="14">
        <v>45766</v>
      </c>
      <c r="B289" s="6">
        <v>3502</v>
      </c>
      <c r="C289" s="6">
        <v>46.54</v>
      </c>
      <c r="D289" s="6">
        <v>44</v>
      </c>
      <c r="E289" s="6" t="s">
        <v>29</v>
      </c>
      <c r="F289" s="6" t="s">
        <v>1</v>
      </c>
      <c r="G289" s="6" t="s">
        <v>16</v>
      </c>
      <c r="H289" s="6" t="s">
        <v>20</v>
      </c>
      <c r="I289" s="6" t="s">
        <v>34</v>
      </c>
      <c r="J289" s="7">
        <v>894</v>
      </c>
      <c r="K289" t="str">
        <f t="shared" si="8"/>
        <v>Apr</v>
      </c>
      <c r="L289">
        <f t="shared" si="9"/>
        <v>2025</v>
      </c>
    </row>
    <row r="290" spans="1:12" x14ac:dyDescent="0.45">
      <c r="A290" s="13">
        <v>45678</v>
      </c>
      <c r="B290" s="4">
        <v>1183</v>
      </c>
      <c r="C290" s="4">
        <v>38.44</v>
      </c>
      <c r="D290" s="4">
        <v>44</v>
      </c>
      <c r="E290" s="4" t="s">
        <v>29</v>
      </c>
      <c r="F290" s="4" t="s">
        <v>15</v>
      </c>
      <c r="G290" s="4" t="s">
        <v>16</v>
      </c>
      <c r="H290" s="4" t="s">
        <v>32</v>
      </c>
      <c r="I290" s="4" t="s">
        <v>26</v>
      </c>
      <c r="J290" s="5">
        <v>1838</v>
      </c>
      <c r="K290" t="str">
        <f t="shared" si="8"/>
        <v>Jan</v>
      </c>
      <c r="L290">
        <f t="shared" si="9"/>
        <v>2025</v>
      </c>
    </row>
    <row r="291" spans="1:12" x14ac:dyDescent="0.45">
      <c r="A291" s="14">
        <v>45659</v>
      </c>
      <c r="B291" s="6">
        <v>2432</v>
      </c>
      <c r="C291" s="6">
        <v>150.65</v>
      </c>
      <c r="D291" s="6">
        <v>44</v>
      </c>
      <c r="E291" s="6" t="s">
        <v>29</v>
      </c>
      <c r="F291" s="6" t="s">
        <v>11</v>
      </c>
      <c r="G291" s="6" t="s">
        <v>16</v>
      </c>
      <c r="H291" s="6" t="s">
        <v>31</v>
      </c>
      <c r="I291" s="6" t="s">
        <v>24</v>
      </c>
      <c r="J291" s="7">
        <v>3000</v>
      </c>
      <c r="K291" t="str">
        <f t="shared" si="8"/>
        <v>Jan</v>
      </c>
      <c r="L291">
        <f t="shared" si="9"/>
        <v>2025</v>
      </c>
    </row>
    <row r="292" spans="1:12" x14ac:dyDescent="0.45">
      <c r="A292" s="13">
        <v>45463</v>
      </c>
      <c r="B292" s="4">
        <v>2817</v>
      </c>
      <c r="C292" s="4">
        <v>16.68</v>
      </c>
      <c r="D292" s="4">
        <v>44</v>
      </c>
      <c r="E292" s="4" t="s">
        <v>29</v>
      </c>
      <c r="F292" s="4" t="s">
        <v>15</v>
      </c>
      <c r="G292" s="4" t="s">
        <v>22</v>
      </c>
      <c r="H292" s="4" t="s">
        <v>32</v>
      </c>
      <c r="I292" s="4" t="s">
        <v>24</v>
      </c>
      <c r="J292" s="5">
        <v>2071</v>
      </c>
      <c r="K292" t="str">
        <f t="shared" si="8"/>
        <v>Jun</v>
      </c>
      <c r="L292">
        <f t="shared" si="9"/>
        <v>2024</v>
      </c>
    </row>
    <row r="293" spans="1:12" x14ac:dyDescent="0.45">
      <c r="A293" s="14">
        <v>45568</v>
      </c>
      <c r="B293" s="6">
        <v>3731</v>
      </c>
      <c r="C293" s="6">
        <v>206.55</v>
      </c>
      <c r="D293" s="6">
        <v>44</v>
      </c>
      <c r="E293" s="6" t="s">
        <v>10</v>
      </c>
      <c r="F293" s="6" t="s">
        <v>15</v>
      </c>
      <c r="G293" s="6" t="s">
        <v>30</v>
      </c>
      <c r="H293" s="6" t="s">
        <v>17</v>
      </c>
      <c r="I293" s="6" t="s">
        <v>14</v>
      </c>
      <c r="J293" s="7">
        <v>586</v>
      </c>
      <c r="K293" t="str">
        <f t="shared" si="8"/>
        <v>Oct</v>
      </c>
      <c r="L293">
        <f t="shared" si="9"/>
        <v>2024</v>
      </c>
    </row>
    <row r="294" spans="1:12" x14ac:dyDescent="0.45">
      <c r="A294" s="13">
        <v>45566</v>
      </c>
      <c r="B294" s="4">
        <v>3689</v>
      </c>
      <c r="C294" s="4">
        <v>11.16</v>
      </c>
      <c r="D294" s="4">
        <v>44</v>
      </c>
      <c r="E294" s="4" t="s">
        <v>10</v>
      </c>
      <c r="F294" s="4" t="s">
        <v>1</v>
      </c>
      <c r="G294" s="4" t="s">
        <v>12</v>
      </c>
      <c r="H294" s="4" t="s">
        <v>32</v>
      </c>
      <c r="I294" s="4" t="s">
        <v>14</v>
      </c>
      <c r="J294" s="5">
        <v>2354</v>
      </c>
      <c r="K294" t="str">
        <f t="shared" si="8"/>
        <v>Oct</v>
      </c>
      <c r="L294">
        <f t="shared" si="9"/>
        <v>2024</v>
      </c>
    </row>
    <row r="295" spans="1:12" x14ac:dyDescent="0.45">
      <c r="A295" s="14">
        <v>45469</v>
      </c>
      <c r="B295" s="6">
        <v>3986</v>
      </c>
      <c r="C295" s="6">
        <v>37.200000000000003</v>
      </c>
      <c r="D295" s="6">
        <v>44</v>
      </c>
      <c r="E295" s="6" t="s">
        <v>10</v>
      </c>
      <c r="F295" s="6" t="s">
        <v>1</v>
      </c>
      <c r="G295" s="6" t="s">
        <v>16</v>
      </c>
      <c r="H295" s="6" t="s">
        <v>17</v>
      </c>
      <c r="I295" s="6" t="s">
        <v>34</v>
      </c>
      <c r="J295" s="7">
        <v>1741</v>
      </c>
      <c r="K295" t="str">
        <f t="shared" si="8"/>
        <v>Jun</v>
      </c>
      <c r="L295">
        <f t="shared" si="9"/>
        <v>2024</v>
      </c>
    </row>
    <row r="296" spans="1:12" x14ac:dyDescent="0.45">
      <c r="A296" s="13">
        <v>45570</v>
      </c>
      <c r="B296" s="4">
        <v>2254</v>
      </c>
      <c r="C296" s="4">
        <v>171.45000000000002</v>
      </c>
      <c r="D296" s="4">
        <v>44</v>
      </c>
      <c r="E296" s="4" t="s">
        <v>19</v>
      </c>
      <c r="F296" s="4" t="s">
        <v>15</v>
      </c>
      <c r="G296" s="4" t="s">
        <v>12</v>
      </c>
      <c r="H296" s="4" t="s">
        <v>20</v>
      </c>
      <c r="I296" s="4" t="s">
        <v>24</v>
      </c>
      <c r="J296" s="5">
        <v>2457</v>
      </c>
      <c r="K296" t="str">
        <f t="shared" si="8"/>
        <v>Oct</v>
      </c>
      <c r="L296">
        <f t="shared" si="9"/>
        <v>2024</v>
      </c>
    </row>
    <row r="297" spans="1:12" x14ac:dyDescent="0.45">
      <c r="A297" s="14">
        <v>45511</v>
      </c>
      <c r="B297" s="6">
        <v>1679</v>
      </c>
      <c r="C297" s="6">
        <v>32.299999999999997</v>
      </c>
      <c r="D297" s="6">
        <v>44</v>
      </c>
      <c r="E297" s="6" t="s">
        <v>19</v>
      </c>
      <c r="F297" s="6" t="s">
        <v>15</v>
      </c>
      <c r="G297" s="6" t="s">
        <v>16</v>
      </c>
      <c r="H297" s="6" t="s">
        <v>37</v>
      </c>
      <c r="I297" s="6" t="s">
        <v>14</v>
      </c>
      <c r="J297" s="7">
        <v>2775</v>
      </c>
      <c r="K297" t="str">
        <f t="shared" si="8"/>
        <v>Aug</v>
      </c>
      <c r="L297">
        <f t="shared" si="9"/>
        <v>2024</v>
      </c>
    </row>
    <row r="298" spans="1:12" x14ac:dyDescent="0.45">
      <c r="A298" s="13">
        <v>45767</v>
      </c>
      <c r="B298" s="4">
        <v>2276</v>
      </c>
      <c r="C298" s="4">
        <v>144.85</v>
      </c>
      <c r="D298" s="4">
        <v>45</v>
      </c>
      <c r="E298" s="4" t="s">
        <v>29</v>
      </c>
      <c r="F298" s="4" t="s">
        <v>15</v>
      </c>
      <c r="G298" s="4" t="s">
        <v>30</v>
      </c>
      <c r="H298" s="4" t="s">
        <v>31</v>
      </c>
      <c r="I298" s="4" t="s">
        <v>34</v>
      </c>
      <c r="J298" s="5">
        <v>1244</v>
      </c>
      <c r="K298" t="str">
        <f t="shared" si="8"/>
        <v>Apr</v>
      </c>
      <c r="L298">
        <f t="shared" si="9"/>
        <v>2025</v>
      </c>
    </row>
    <row r="299" spans="1:12" x14ac:dyDescent="0.45">
      <c r="A299" s="14">
        <v>45756</v>
      </c>
      <c r="B299" s="6">
        <v>1027</v>
      </c>
      <c r="C299" s="6">
        <v>211.3</v>
      </c>
      <c r="D299" s="6">
        <v>45</v>
      </c>
      <c r="E299" s="6" t="s">
        <v>10</v>
      </c>
      <c r="F299" s="6" t="s">
        <v>1</v>
      </c>
      <c r="G299" s="6" t="s">
        <v>22</v>
      </c>
      <c r="H299" s="6" t="s">
        <v>33</v>
      </c>
      <c r="I299" s="6" t="s">
        <v>14</v>
      </c>
      <c r="J299" s="7">
        <v>4009</v>
      </c>
      <c r="K299" t="str">
        <f t="shared" si="8"/>
        <v>Apr</v>
      </c>
      <c r="L299">
        <f t="shared" si="9"/>
        <v>2025</v>
      </c>
    </row>
    <row r="300" spans="1:12" x14ac:dyDescent="0.45">
      <c r="A300" s="13">
        <v>45558</v>
      </c>
      <c r="B300" s="4">
        <v>1914</v>
      </c>
      <c r="C300" s="4">
        <v>28.96</v>
      </c>
      <c r="D300" s="4">
        <v>45</v>
      </c>
      <c r="E300" s="4" t="s">
        <v>19</v>
      </c>
      <c r="F300" s="4" t="s">
        <v>1</v>
      </c>
      <c r="G300" s="4" t="s">
        <v>12</v>
      </c>
      <c r="H300" s="4" t="s">
        <v>37</v>
      </c>
      <c r="I300" s="4" t="s">
        <v>26</v>
      </c>
      <c r="J300" s="5">
        <v>4243</v>
      </c>
      <c r="K300" t="str">
        <f t="shared" si="8"/>
        <v>Sep</v>
      </c>
      <c r="L300">
        <f t="shared" si="9"/>
        <v>2024</v>
      </c>
    </row>
    <row r="301" spans="1:12" x14ac:dyDescent="0.45">
      <c r="A301" s="14">
        <v>45622</v>
      </c>
      <c r="B301" s="6">
        <v>3501</v>
      </c>
      <c r="C301" s="6">
        <v>48.980000000000004</v>
      </c>
      <c r="D301" s="6">
        <v>45</v>
      </c>
      <c r="E301" s="6" t="s">
        <v>27</v>
      </c>
      <c r="F301" s="6" t="s">
        <v>11</v>
      </c>
      <c r="G301" s="6" t="s">
        <v>12</v>
      </c>
      <c r="H301" s="6" t="s">
        <v>25</v>
      </c>
      <c r="I301" s="6" t="s">
        <v>24</v>
      </c>
      <c r="J301" s="7">
        <v>3017</v>
      </c>
      <c r="K301" t="str">
        <f t="shared" si="8"/>
        <v>Nov</v>
      </c>
      <c r="L301">
        <f t="shared" si="9"/>
        <v>2024</v>
      </c>
    </row>
    <row r="302" spans="1:12" x14ac:dyDescent="0.45">
      <c r="A302" s="13">
        <v>45635</v>
      </c>
      <c r="B302" s="4">
        <v>3560</v>
      </c>
      <c r="C302" s="4">
        <v>228.9</v>
      </c>
      <c r="D302" s="4">
        <v>46</v>
      </c>
      <c r="E302" s="4" t="s">
        <v>29</v>
      </c>
      <c r="F302" s="4" t="s">
        <v>1</v>
      </c>
      <c r="G302" s="4" t="s">
        <v>22</v>
      </c>
      <c r="H302" s="4" t="s">
        <v>23</v>
      </c>
      <c r="I302" s="4" t="s">
        <v>14</v>
      </c>
      <c r="J302" s="5">
        <v>3784</v>
      </c>
      <c r="K302" t="str">
        <f t="shared" si="8"/>
        <v>Dec</v>
      </c>
      <c r="L302">
        <f t="shared" si="9"/>
        <v>2024</v>
      </c>
    </row>
    <row r="303" spans="1:12" x14ac:dyDescent="0.45">
      <c r="A303" s="14">
        <v>45588</v>
      </c>
      <c r="B303" s="6">
        <v>1521</v>
      </c>
      <c r="C303" s="6">
        <v>145.4</v>
      </c>
      <c r="D303" s="6">
        <v>46</v>
      </c>
      <c r="E303" s="6" t="s">
        <v>29</v>
      </c>
      <c r="F303" s="6" t="s">
        <v>1</v>
      </c>
      <c r="G303" s="6" t="s">
        <v>16</v>
      </c>
      <c r="H303" s="6" t="s">
        <v>20</v>
      </c>
      <c r="I303" s="6" t="s">
        <v>18</v>
      </c>
      <c r="J303" s="7">
        <v>1577</v>
      </c>
      <c r="K303" t="str">
        <f t="shared" si="8"/>
        <v>Oct</v>
      </c>
      <c r="L303">
        <f t="shared" si="9"/>
        <v>2024</v>
      </c>
    </row>
    <row r="304" spans="1:12" x14ac:dyDescent="0.45">
      <c r="A304" s="13">
        <v>45736</v>
      </c>
      <c r="B304" s="4">
        <v>1581</v>
      </c>
      <c r="C304" s="4">
        <v>48.800000000000004</v>
      </c>
      <c r="D304" s="4">
        <v>46</v>
      </c>
      <c r="E304" s="4" t="s">
        <v>10</v>
      </c>
      <c r="F304" s="4" t="s">
        <v>1</v>
      </c>
      <c r="G304" s="4" t="s">
        <v>16</v>
      </c>
      <c r="H304" s="4" t="s">
        <v>25</v>
      </c>
      <c r="I304" s="4" t="s">
        <v>18</v>
      </c>
      <c r="J304" s="5">
        <v>1286</v>
      </c>
      <c r="K304" t="str">
        <f t="shared" si="8"/>
        <v>Mar</v>
      </c>
      <c r="L304">
        <f t="shared" si="9"/>
        <v>2025</v>
      </c>
    </row>
    <row r="305" spans="1:12" x14ac:dyDescent="0.45">
      <c r="A305" s="14">
        <v>45647</v>
      </c>
      <c r="B305" s="6">
        <v>2954</v>
      </c>
      <c r="C305" s="6">
        <v>164.05</v>
      </c>
      <c r="D305" s="6">
        <v>46</v>
      </c>
      <c r="E305" s="6" t="s">
        <v>27</v>
      </c>
      <c r="F305" s="6" t="s">
        <v>11</v>
      </c>
      <c r="G305" s="6" t="s">
        <v>16</v>
      </c>
      <c r="H305" s="6" t="s">
        <v>13</v>
      </c>
      <c r="I305" s="6" t="s">
        <v>26</v>
      </c>
      <c r="J305" s="7">
        <v>1488</v>
      </c>
      <c r="K305" t="str">
        <f t="shared" si="8"/>
        <v>Dec</v>
      </c>
      <c r="L305">
        <f t="shared" si="9"/>
        <v>2024</v>
      </c>
    </row>
    <row r="306" spans="1:12" x14ac:dyDescent="0.45">
      <c r="A306" s="13">
        <v>45761</v>
      </c>
      <c r="B306" s="4">
        <v>2126</v>
      </c>
      <c r="C306" s="4">
        <v>197.3</v>
      </c>
      <c r="D306" s="4">
        <v>47</v>
      </c>
      <c r="E306" s="4" t="s">
        <v>29</v>
      </c>
      <c r="F306" s="4" t="s">
        <v>15</v>
      </c>
      <c r="G306" s="4" t="s">
        <v>22</v>
      </c>
      <c r="H306" s="4" t="s">
        <v>20</v>
      </c>
      <c r="I306" s="4" t="s">
        <v>26</v>
      </c>
      <c r="J306" s="5">
        <v>2357</v>
      </c>
      <c r="K306" t="str">
        <f t="shared" si="8"/>
        <v>Apr</v>
      </c>
      <c r="L306">
        <f t="shared" si="9"/>
        <v>2025</v>
      </c>
    </row>
    <row r="307" spans="1:12" x14ac:dyDescent="0.45">
      <c r="A307" s="14">
        <v>45742</v>
      </c>
      <c r="B307" s="6">
        <v>3990</v>
      </c>
      <c r="C307" s="6">
        <v>179.25</v>
      </c>
      <c r="D307" s="6">
        <v>47</v>
      </c>
      <c r="E307" s="6" t="s">
        <v>29</v>
      </c>
      <c r="F307" s="6" t="s">
        <v>15</v>
      </c>
      <c r="G307" s="6" t="s">
        <v>16</v>
      </c>
      <c r="H307" s="6" t="s">
        <v>35</v>
      </c>
      <c r="I307" s="6" t="s">
        <v>24</v>
      </c>
      <c r="J307" s="7">
        <v>926</v>
      </c>
      <c r="K307" t="str">
        <f t="shared" si="8"/>
        <v>Mar</v>
      </c>
      <c r="L307">
        <f t="shared" si="9"/>
        <v>2025</v>
      </c>
    </row>
    <row r="308" spans="1:12" x14ac:dyDescent="0.45">
      <c r="A308" s="13">
        <v>45641</v>
      </c>
      <c r="B308" s="4">
        <v>2581</v>
      </c>
      <c r="C308" s="4">
        <v>38.18</v>
      </c>
      <c r="D308" s="4">
        <v>47</v>
      </c>
      <c r="E308" s="4" t="s">
        <v>29</v>
      </c>
      <c r="F308" s="4" t="s">
        <v>1</v>
      </c>
      <c r="G308" s="4" t="s">
        <v>12</v>
      </c>
      <c r="H308" s="4" t="s">
        <v>23</v>
      </c>
      <c r="I308" s="4" t="s">
        <v>14</v>
      </c>
      <c r="J308" s="5">
        <v>4041</v>
      </c>
      <c r="K308" t="str">
        <f t="shared" si="8"/>
        <v>Dec</v>
      </c>
      <c r="L308">
        <f t="shared" si="9"/>
        <v>2024</v>
      </c>
    </row>
    <row r="309" spans="1:12" x14ac:dyDescent="0.45">
      <c r="A309" s="14">
        <v>45600</v>
      </c>
      <c r="B309" s="6">
        <v>552</v>
      </c>
      <c r="C309" s="6">
        <v>29.76</v>
      </c>
      <c r="D309" s="6">
        <v>47</v>
      </c>
      <c r="E309" s="6" t="s">
        <v>29</v>
      </c>
      <c r="F309" s="6" t="s">
        <v>15</v>
      </c>
      <c r="G309" s="6" t="s">
        <v>16</v>
      </c>
      <c r="H309" s="6" t="s">
        <v>35</v>
      </c>
      <c r="I309" s="6" t="s">
        <v>21</v>
      </c>
      <c r="J309" s="7">
        <v>1741</v>
      </c>
      <c r="K309" t="str">
        <f t="shared" si="8"/>
        <v>Nov</v>
      </c>
      <c r="L309">
        <f t="shared" si="9"/>
        <v>2024</v>
      </c>
    </row>
    <row r="310" spans="1:12" x14ac:dyDescent="0.45">
      <c r="A310" s="13">
        <v>45569</v>
      </c>
      <c r="B310" s="4">
        <v>1447</v>
      </c>
      <c r="C310" s="4">
        <v>131.05000000000001</v>
      </c>
      <c r="D310" s="4">
        <v>47</v>
      </c>
      <c r="E310" s="4" t="s">
        <v>29</v>
      </c>
      <c r="F310" s="4" t="s">
        <v>1</v>
      </c>
      <c r="G310" s="4" t="s">
        <v>16</v>
      </c>
      <c r="H310" s="4" t="s">
        <v>17</v>
      </c>
      <c r="I310" s="4" t="s">
        <v>21</v>
      </c>
      <c r="J310" s="5">
        <v>1483</v>
      </c>
      <c r="K310" t="str">
        <f t="shared" si="8"/>
        <v>Oct</v>
      </c>
      <c r="L310">
        <f t="shared" si="9"/>
        <v>2024</v>
      </c>
    </row>
    <row r="311" spans="1:12" x14ac:dyDescent="0.45">
      <c r="A311" s="14">
        <v>45758</v>
      </c>
      <c r="B311" s="6">
        <v>2125</v>
      </c>
      <c r="C311" s="6">
        <v>41.980000000000004</v>
      </c>
      <c r="D311" s="6">
        <v>47</v>
      </c>
      <c r="E311" s="6" t="s">
        <v>10</v>
      </c>
      <c r="F311" s="6" t="s">
        <v>1</v>
      </c>
      <c r="G311" s="6" t="s">
        <v>22</v>
      </c>
      <c r="H311" s="6" t="s">
        <v>13</v>
      </c>
      <c r="I311" s="6" t="s">
        <v>18</v>
      </c>
      <c r="J311" s="7">
        <v>3807</v>
      </c>
      <c r="K311" t="str">
        <f t="shared" si="8"/>
        <v>Apr</v>
      </c>
      <c r="L311">
        <f t="shared" si="9"/>
        <v>2025</v>
      </c>
    </row>
    <row r="312" spans="1:12" x14ac:dyDescent="0.45">
      <c r="A312" s="13">
        <v>45718</v>
      </c>
      <c r="B312" s="4">
        <v>1880</v>
      </c>
      <c r="C312" s="4">
        <v>20.36</v>
      </c>
      <c r="D312" s="4">
        <v>47</v>
      </c>
      <c r="E312" s="4" t="s">
        <v>10</v>
      </c>
      <c r="F312" s="4" t="s">
        <v>1</v>
      </c>
      <c r="G312" s="4" t="s">
        <v>16</v>
      </c>
      <c r="H312" s="4" t="s">
        <v>28</v>
      </c>
      <c r="I312" s="4" t="s">
        <v>18</v>
      </c>
      <c r="J312" s="5">
        <v>3289</v>
      </c>
      <c r="K312" t="str">
        <f t="shared" si="8"/>
        <v>Mar</v>
      </c>
      <c r="L312">
        <f t="shared" si="9"/>
        <v>2025</v>
      </c>
    </row>
    <row r="313" spans="1:12" x14ac:dyDescent="0.45">
      <c r="A313" s="14">
        <v>45526</v>
      </c>
      <c r="B313" s="6">
        <v>1824</v>
      </c>
      <c r="C313" s="6">
        <v>10.52</v>
      </c>
      <c r="D313" s="6">
        <v>47</v>
      </c>
      <c r="E313" s="6" t="s">
        <v>10</v>
      </c>
      <c r="F313" s="6" t="s">
        <v>15</v>
      </c>
      <c r="G313" s="6" t="s">
        <v>16</v>
      </c>
      <c r="H313" s="6" t="s">
        <v>35</v>
      </c>
      <c r="I313" s="6" t="s">
        <v>18</v>
      </c>
      <c r="J313" s="7">
        <v>2672</v>
      </c>
      <c r="K313" t="str">
        <f t="shared" si="8"/>
        <v>Aug</v>
      </c>
      <c r="L313">
        <f t="shared" si="9"/>
        <v>2024</v>
      </c>
    </row>
    <row r="314" spans="1:12" x14ac:dyDescent="0.45">
      <c r="A314" s="13">
        <v>45699</v>
      </c>
      <c r="B314" s="4">
        <v>2119</v>
      </c>
      <c r="C314" s="4">
        <v>150.85</v>
      </c>
      <c r="D314" s="4">
        <v>47</v>
      </c>
      <c r="E314" s="4" t="s">
        <v>27</v>
      </c>
      <c r="F314" s="4" t="s">
        <v>15</v>
      </c>
      <c r="G314" s="4" t="s">
        <v>22</v>
      </c>
      <c r="H314" s="4" t="s">
        <v>23</v>
      </c>
      <c r="I314" s="4" t="s">
        <v>26</v>
      </c>
      <c r="J314" s="5">
        <v>1897</v>
      </c>
      <c r="K314" t="str">
        <f t="shared" si="8"/>
        <v>Feb</v>
      </c>
      <c r="L314">
        <f t="shared" si="9"/>
        <v>2025</v>
      </c>
    </row>
    <row r="315" spans="1:12" x14ac:dyDescent="0.45">
      <c r="A315" s="14">
        <v>45692</v>
      </c>
      <c r="B315" s="6">
        <v>798</v>
      </c>
      <c r="C315" s="6">
        <v>153.05000000000001</v>
      </c>
      <c r="D315" s="6">
        <v>47</v>
      </c>
      <c r="E315" s="6" t="s">
        <v>27</v>
      </c>
      <c r="F315" s="6" t="s">
        <v>11</v>
      </c>
      <c r="G315" s="6" t="s">
        <v>30</v>
      </c>
      <c r="H315" s="6" t="s">
        <v>20</v>
      </c>
      <c r="I315" s="6" t="s">
        <v>24</v>
      </c>
      <c r="J315" s="7">
        <v>1774</v>
      </c>
      <c r="K315" t="str">
        <f t="shared" si="8"/>
        <v>Feb</v>
      </c>
      <c r="L315">
        <f t="shared" si="9"/>
        <v>2025</v>
      </c>
    </row>
    <row r="316" spans="1:12" x14ac:dyDescent="0.45">
      <c r="A316" s="13">
        <v>45688</v>
      </c>
      <c r="B316" s="4">
        <v>3645</v>
      </c>
      <c r="C316" s="4">
        <v>188.25</v>
      </c>
      <c r="D316" s="4">
        <v>47</v>
      </c>
      <c r="E316" s="4" t="s">
        <v>27</v>
      </c>
      <c r="F316" s="4" t="s">
        <v>11</v>
      </c>
      <c r="G316" s="4" t="s">
        <v>16</v>
      </c>
      <c r="H316" s="4" t="s">
        <v>32</v>
      </c>
      <c r="I316" s="4" t="s">
        <v>24</v>
      </c>
      <c r="J316" s="5">
        <v>2675</v>
      </c>
      <c r="K316" t="str">
        <f t="shared" si="8"/>
        <v>Jan</v>
      </c>
      <c r="L316">
        <f t="shared" si="9"/>
        <v>2025</v>
      </c>
    </row>
    <row r="317" spans="1:12" x14ac:dyDescent="0.45">
      <c r="A317" s="14">
        <v>45542</v>
      </c>
      <c r="B317" s="6">
        <v>1784</v>
      </c>
      <c r="C317" s="6">
        <v>149.9</v>
      </c>
      <c r="D317" s="6">
        <v>47</v>
      </c>
      <c r="E317" s="6" t="s">
        <v>27</v>
      </c>
      <c r="F317" s="6" t="s">
        <v>1</v>
      </c>
      <c r="G317" s="6" t="s">
        <v>30</v>
      </c>
      <c r="H317" s="6" t="s">
        <v>13</v>
      </c>
      <c r="I317" s="6" t="s">
        <v>26</v>
      </c>
      <c r="J317" s="7">
        <v>2814</v>
      </c>
      <c r="K317" t="str">
        <f t="shared" si="8"/>
        <v>Sep</v>
      </c>
      <c r="L317">
        <f t="shared" si="9"/>
        <v>2024</v>
      </c>
    </row>
    <row r="318" spans="1:12" x14ac:dyDescent="0.45">
      <c r="A318" s="13">
        <v>45750</v>
      </c>
      <c r="B318" s="4">
        <v>864</v>
      </c>
      <c r="C318" s="4">
        <v>11.38</v>
      </c>
      <c r="D318" s="4">
        <v>48</v>
      </c>
      <c r="E318" s="4" t="s">
        <v>29</v>
      </c>
      <c r="F318" s="4" t="s">
        <v>15</v>
      </c>
      <c r="G318" s="4" t="s">
        <v>12</v>
      </c>
      <c r="H318" s="4" t="s">
        <v>35</v>
      </c>
      <c r="I318" s="4" t="s">
        <v>21</v>
      </c>
      <c r="J318" s="5">
        <v>3649</v>
      </c>
      <c r="K318" t="str">
        <f t="shared" si="8"/>
        <v>Apr</v>
      </c>
      <c r="L318">
        <f t="shared" si="9"/>
        <v>2025</v>
      </c>
    </row>
    <row r="319" spans="1:12" x14ac:dyDescent="0.45">
      <c r="A319" s="14">
        <v>45743</v>
      </c>
      <c r="B319" s="6">
        <v>3020</v>
      </c>
      <c r="C319" s="6">
        <v>190.25</v>
      </c>
      <c r="D319" s="6">
        <v>48</v>
      </c>
      <c r="E319" s="6" t="s">
        <v>10</v>
      </c>
      <c r="F319" s="6" t="s">
        <v>11</v>
      </c>
      <c r="G319" s="6" t="s">
        <v>16</v>
      </c>
      <c r="H319" s="6" t="s">
        <v>13</v>
      </c>
      <c r="I319" s="6" t="s">
        <v>18</v>
      </c>
      <c r="J319" s="7">
        <v>3798</v>
      </c>
      <c r="K319" t="str">
        <f t="shared" si="8"/>
        <v>Mar</v>
      </c>
      <c r="L319">
        <f t="shared" si="9"/>
        <v>2025</v>
      </c>
    </row>
    <row r="320" spans="1:12" x14ac:dyDescent="0.45">
      <c r="A320" s="13">
        <v>45619</v>
      </c>
      <c r="B320" s="4">
        <v>1348</v>
      </c>
      <c r="C320" s="4">
        <v>29.38</v>
      </c>
      <c r="D320" s="4">
        <v>48</v>
      </c>
      <c r="E320" s="4" t="s">
        <v>10</v>
      </c>
      <c r="F320" s="4" t="s">
        <v>11</v>
      </c>
      <c r="G320" s="4" t="s">
        <v>16</v>
      </c>
      <c r="H320" s="4" t="s">
        <v>13</v>
      </c>
      <c r="I320" s="4" t="s">
        <v>24</v>
      </c>
      <c r="J320" s="5">
        <v>2647</v>
      </c>
      <c r="K320" t="str">
        <f t="shared" si="8"/>
        <v>Nov</v>
      </c>
      <c r="L320">
        <f t="shared" si="9"/>
        <v>2024</v>
      </c>
    </row>
    <row r="321" spans="1:12" x14ac:dyDescent="0.45">
      <c r="A321" s="14">
        <v>45576</v>
      </c>
      <c r="B321" s="6">
        <v>2646</v>
      </c>
      <c r="C321" s="6">
        <v>34.340000000000003</v>
      </c>
      <c r="D321" s="6">
        <v>48</v>
      </c>
      <c r="E321" s="6" t="s">
        <v>10</v>
      </c>
      <c r="F321" s="6" t="s">
        <v>15</v>
      </c>
      <c r="G321" s="6" t="s">
        <v>30</v>
      </c>
      <c r="H321" s="6" t="s">
        <v>31</v>
      </c>
      <c r="I321" s="6" t="s">
        <v>14</v>
      </c>
      <c r="J321" s="7">
        <v>2662</v>
      </c>
      <c r="K321" t="str">
        <f t="shared" si="8"/>
        <v>Oct</v>
      </c>
      <c r="L321">
        <f t="shared" si="9"/>
        <v>2024</v>
      </c>
    </row>
    <row r="322" spans="1:12" x14ac:dyDescent="0.45">
      <c r="A322" s="13">
        <v>45574</v>
      </c>
      <c r="B322" s="4">
        <v>2644</v>
      </c>
      <c r="C322" s="4">
        <v>17.84</v>
      </c>
      <c r="D322" s="4">
        <v>48</v>
      </c>
      <c r="E322" s="4" t="s">
        <v>10</v>
      </c>
      <c r="F322" s="4" t="s">
        <v>1</v>
      </c>
      <c r="G322" s="4" t="s">
        <v>12</v>
      </c>
      <c r="H322" s="4" t="s">
        <v>25</v>
      </c>
      <c r="I322" s="4" t="s">
        <v>14</v>
      </c>
      <c r="J322" s="5">
        <v>2194</v>
      </c>
      <c r="K322" t="str">
        <f t="shared" si="8"/>
        <v>Oct</v>
      </c>
      <c r="L322">
        <f t="shared" si="9"/>
        <v>2024</v>
      </c>
    </row>
    <row r="323" spans="1:12" x14ac:dyDescent="0.45">
      <c r="A323" s="14">
        <v>45551</v>
      </c>
      <c r="B323" s="6">
        <v>3293</v>
      </c>
      <c r="C323" s="6">
        <v>49.58</v>
      </c>
      <c r="D323" s="6">
        <v>48</v>
      </c>
      <c r="E323" s="6" t="s">
        <v>10</v>
      </c>
      <c r="F323" s="6" t="s">
        <v>15</v>
      </c>
      <c r="G323" s="6" t="s">
        <v>16</v>
      </c>
      <c r="H323" s="6" t="s">
        <v>31</v>
      </c>
      <c r="I323" s="6" t="s">
        <v>18</v>
      </c>
      <c r="J323" s="7">
        <v>3397</v>
      </c>
      <c r="K323" t="str">
        <f t="shared" ref="K323:K350" si="10">TEXT(A323,"mmm")</f>
        <v>Sep</v>
      </c>
      <c r="L323">
        <f t="shared" ref="L323:L350" si="11">YEAR(A323)</f>
        <v>2024</v>
      </c>
    </row>
    <row r="324" spans="1:12" x14ac:dyDescent="0.45">
      <c r="A324" s="13">
        <v>45704</v>
      </c>
      <c r="B324" s="4">
        <v>3057</v>
      </c>
      <c r="C324" s="4">
        <v>43.5</v>
      </c>
      <c r="D324" s="4">
        <v>48</v>
      </c>
      <c r="E324" s="4" t="s">
        <v>19</v>
      </c>
      <c r="F324" s="4" t="s">
        <v>1</v>
      </c>
      <c r="G324" s="4" t="s">
        <v>12</v>
      </c>
      <c r="H324" s="4" t="s">
        <v>28</v>
      </c>
      <c r="I324" s="4" t="s">
        <v>26</v>
      </c>
      <c r="J324" s="5">
        <v>1648</v>
      </c>
      <c r="K324" t="str">
        <f t="shared" si="10"/>
        <v>Feb</v>
      </c>
      <c r="L324">
        <f t="shared" si="11"/>
        <v>2025</v>
      </c>
    </row>
    <row r="325" spans="1:12" x14ac:dyDescent="0.45">
      <c r="A325" s="14">
        <v>45690</v>
      </c>
      <c r="B325" s="6">
        <v>3969</v>
      </c>
      <c r="C325" s="6">
        <v>11.78</v>
      </c>
      <c r="D325" s="6">
        <v>48</v>
      </c>
      <c r="E325" s="6" t="s">
        <v>19</v>
      </c>
      <c r="F325" s="6" t="s">
        <v>11</v>
      </c>
      <c r="G325" s="6" t="s">
        <v>16</v>
      </c>
      <c r="H325" s="6" t="s">
        <v>17</v>
      </c>
      <c r="I325" s="6" t="s">
        <v>26</v>
      </c>
      <c r="J325" s="7">
        <v>2396</v>
      </c>
      <c r="K325" t="str">
        <f t="shared" si="10"/>
        <v>Feb</v>
      </c>
      <c r="L325">
        <f t="shared" si="11"/>
        <v>2025</v>
      </c>
    </row>
    <row r="326" spans="1:12" x14ac:dyDescent="0.45">
      <c r="A326" s="13">
        <v>45630</v>
      </c>
      <c r="B326" s="4">
        <v>3734</v>
      </c>
      <c r="C326" s="4">
        <v>15.96</v>
      </c>
      <c r="D326" s="4">
        <v>48</v>
      </c>
      <c r="E326" s="4" t="s">
        <v>19</v>
      </c>
      <c r="F326" s="4" t="s">
        <v>1</v>
      </c>
      <c r="G326" s="4" t="s">
        <v>12</v>
      </c>
      <c r="H326" s="4" t="s">
        <v>13</v>
      </c>
      <c r="I326" s="4" t="s">
        <v>18</v>
      </c>
      <c r="J326" s="5">
        <v>2381</v>
      </c>
      <c r="K326" t="str">
        <f t="shared" si="10"/>
        <v>Dec</v>
      </c>
      <c r="L326">
        <f t="shared" si="11"/>
        <v>2024</v>
      </c>
    </row>
    <row r="327" spans="1:12" x14ac:dyDescent="0.45">
      <c r="A327" s="14">
        <v>45625</v>
      </c>
      <c r="B327" s="6">
        <v>1615</v>
      </c>
      <c r="C327" s="6">
        <v>190.05</v>
      </c>
      <c r="D327" s="6">
        <v>48</v>
      </c>
      <c r="E327" s="6" t="s">
        <v>19</v>
      </c>
      <c r="F327" s="6" t="s">
        <v>11</v>
      </c>
      <c r="G327" s="6" t="s">
        <v>16</v>
      </c>
      <c r="H327" s="6" t="s">
        <v>33</v>
      </c>
      <c r="I327" s="6" t="s">
        <v>34</v>
      </c>
      <c r="J327" s="7">
        <v>2724</v>
      </c>
      <c r="K327" t="str">
        <f t="shared" si="10"/>
        <v>Nov</v>
      </c>
      <c r="L327">
        <f t="shared" si="11"/>
        <v>2024</v>
      </c>
    </row>
    <row r="328" spans="1:12" x14ac:dyDescent="0.45">
      <c r="A328" s="13">
        <v>45584</v>
      </c>
      <c r="B328" s="4">
        <v>3384</v>
      </c>
      <c r="C328" s="4">
        <v>208.35000000000002</v>
      </c>
      <c r="D328" s="4">
        <v>48</v>
      </c>
      <c r="E328" s="4" t="s">
        <v>19</v>
      </c>
      <c r="F328" s="4" t="s">
        <v>15</v>
      </c>
      <c r="G328" s="4" t="s">
        <v>12</v>
      </c>
      <c r="H328" s="4" t="s">
        <v>28</v>
      </c>
      <c r="I328" s="4" t="s">
        <v>34</v>
      </c>
      <c r="J328" s="5">
        <v>4295</v>
      </c>
      <c r="K328" t="str">
        <f t="shared" si="10"/>
        <v>Oct</v>
      </c>
      <c r="L328">
        <f t="shared" si="11"/>
        <v>2024</v>
      </c>
    </row>
    <row r="329" spans="1:12" x14ac:dyDescent="0.45">
      <c r="A329" s="14">
        <v>45560</v>
      </c>
      <c r="B329" s="6">
        <v>2335</v>
      </c>
      <c r="C329" s="6">
        <v>191.5</v>
      </c>
      <c r="D329" s="6">
        <v>48</v>
      </c>
      <c r="E329" s="6" t="s">
        <v>19</v>
      </c>
      <c r="F329" s="6" t="s">
        <v>1</v>
      </c>
      <c r="G329" s="6" t="s">
        <v>30</v>
      </c>
      <c r="H329" s="6" t="s">
        <v>23</v>
      </c>
      <c r="I329" s="6" t="s">
        <v>26</v>
      </c>
      <c r="J329" s="7">
        <v>690</v>
      </c>
      <c r="K329" t="str">
        <f t="shared" si="10"/>
        <v>Sep</v>
      </c>
      <c r="L329">
        <f t="shared" si="11"/>
        <v>2024</v>
      </c>
    </row>
    <row r="330" spans="1:12" x14ac:dyDescent="0.45">
      <c r="A330" s="13">
        <v>45505</v>
      </c>
      <c r="B330" s="4">
        <v>2742</v>
      </c>
      <c r="C330" s="4">
        <v>28.14</v>
      </c>
      <c r="D330" s="4">
        <v>48</v>
      </c>
      <c r="E330" s="4" t="s">
        <v>19</v>
      </c>
      <c r="F330" s="4" t="s">
        <v>11</v>
      </c>
      <c r="G330" s="4" t="s">
        <v>12</v>
      </c>
      <c r="H330" s="4" t="s">
        <v>36</v>
      </c>
      <c r="I330" s="4" t="s">
        <v>21</v>
      </c>
      <c r="J330" s="5">
        <v>2989</v>
      </c>
      <c r="K330" t="str">
        <f t="shared" si="10"/>
        <v>Aug</v>
      </c>
      <c r="L330">
        <f t="shared" si="11"/>
        <v>2024</v>
      </c>
    </row>
    <row r="331" spans="1:12" x14ac:dyDescent="0.45">
      <c r="A331" s="14">
        <v>45470</v>
      </c>
      <c r="B331" s="6">
        <v>728</v>
      </c>
      <c r="C331" s="6">
        <v>171.85000000000002</v>
      </c>
      <c r="D331" s="6">
        <v>48</v>
      </c>
      <c r="E331" s="6" t="s">
        <v>19</v>
      </c>
      <c r="F331" s="6" t="s">
        <v>15</v>
      </c>
      <c r="G331" s="6" t="s">
        <v>30</v>
      </c>
      <c r="H331" s="6" t="s">
        <v>38</v>
      </c>
      <c r="I331" s="6" t="s">
        <v>26</v>
      </c>
      <c r="J331" s="7">
        <v>2615</v>
      </c>
      <c r="K331" t="str">
        <f t="shared" si="10"/>
        <v>Jun</v>
      </c>
      <c r="L331">
        <f t="shared" si="11"/>
        <v>2024</v>
      </c>
    </row>
    <row r="332" spans="1:12" x14ac:dyDescent="0.45">
      <c r="A332" s="13">
        <v>45563</v>
      </c>
      <c r="B332" s="4">
        <v>2360</v>
      </c>
      <c r="C332" s="4">
        <v>145.6</v>
      </c>
      <c r="D332" s="4">
        <v>49</v>
      </c>
      <c r="E332" s="4" t="s">
        <v>29</v>
      </c>
      <c r="F332" s="4" t="s">
        <v>1</v>
      </c>
      <c r="G332" s="4" t="s">
        <v>16</v>
      </c>
      <c r="H332" s="4" t="s">
        <v>35</v>
      </c>
      <c r="I332" s="4" t="s">
        <v>24</v>
      </c>
      <c r="J332" s="5">
        <v>2920</v>
      </c>
      <c r="K332" t="str">
        <f t="shared" si="10"/>
        <v>Sep</v>
      </c>
      <c r="L332">
        <f t="shared" si="11"/>
        <v>2024</v>
      </c>
    </row>
    <row r="333" spans="1:12" x14ac:dyDescent="0.45">
      <c r="A333" s="14">
        <v>45749</v>
      </c>
      <c r="B333" s="6">
        <v>1750</v>
      </c>
      <c r="C333" s="6">
        <v>125.7</v>
      </c>
      <c r="D333" s="6">
        <v>49</v>
      </c>
      <c r="E333" s="6" t="s">
        <v>10</v>
      </c>
      <c r="F333" s="6" t="s">
        <v>11</v>
      </c>
      <c r="G333" s="6" t="s">
        <v>16</v>
      </c>
      <c r="H333" s="6" t="s">
        <v>23</v>
      </c>
      <c r="I333" s="6" t="s">
        <v>24</v>
      </c>
      <c r="J333" s="7">
        <v>503</v>
      </c>
      <c r="K333" t="str">
        <f t="shared" si="10"/>
        <v>Apr</v>
      </c>
      <c r="L333">
        <f t="shared" si="11"/>
        <v>2025</v>
      </c>
    </row>
    <row r="334" spans="1:12" x14ac:dyDescent="0.45">
      <c r="A334" s="13">
        <v>45645</v>
      </c>
      <c r="B334" s="4">
        <v>3302</v>
      </c>
      <c r="C334" s="4">
        <v>161.9</v>
      </c>
      <c r="D334" s="4">
        <v>49</v>
      </c>
      <c r="E334" s="4" t="s">
        <v>10</v>
      </c>
      <c r="F334" s="4" t="s">
        <v>15</v>
      </c>
      <c r="G334" s="4" t="s">
        <v>16</v>
      </c>
      <c r="H334" s="4" t="s">
        <v>35</v>
      </c>
      <c r="I334" s="4" t="s">
        <v>18</v>
      </c>
      <c r="J334" s="5">
        <v>4192</v>
      </c>
      <c r="K334" t="str">
        <f t="shared" si="10"/>
        <v>Dec</v>
      </c>
      <c r="L334">
        <f t="shared" si="11"/>
        <v>2024</v>
      </c>
    </row>
    <row r="335" spans="1:12" x14ac:dyDescent="0.45">
      <c r="A335" s="14">
        <v>45540</v>
      </c>
      <c r="B335" s="6">
        <v>3506</v>
      </c>
      <c r="C335" s="6">
        <v>156.20000000000002</v>
      </c>
      <c r="D335" s="6">
        <v>49</v>
      </c>
      <c r="E335" s="6" t="s">
        <v>10</v>
      </c>
      <c r="F335" s="6" t="s">
        <v>11</v>
      </c>
      <c r="G335" s="6" t="s">
        <v>16</v>
      </c>
      <c r="H335" s="6" t="s">
        <v>20</v>
      </c>
      <c r="I335" s="6" t="s">
        <v>24</v>
      </c>
      <c r="J335" s="7">
        <v>2512</v>
      </c>
      <c r="K335" t="str">
        <f t="shared" si="10"/>
        <v>Sep</v>
      </c>
      <c r="L335">
        <f t="shared" si="11"/>
        <v>2024</v>
      </c>
    </row>
    <row r="336" spans="1:12" x14ac:dyDescent="0.45">
      <c r="A336" s="13">
        <v>45527</v>
      </c>
      <c r="B336" s="4">
        <v>2559</v>
      </c>
      <c r="C336" s="4">
        <v>204.65</v>
      </c>
      <c r="D336" s="4">
        <v>49</v>
      </c>
      <c r="E336" s="4" t="s">
        <v>10</v>
      </c>
      <c r="F336" s="4" t="s">
        <v>15</v>
      </c>
      <c r="G336" s="4" t="s">
        <v>12</v>
      </c>
      <c r="H336" s="4" t="s">
        <v>38</v>
      </c>
      <c r="I336" s="4" t="s">
        <v>18</v>
      </c>
      <c r="J336" s="5">
        <v>675</v>
      </c>
      <c r="K336" t="str">
        <f t="shared" si="10"/>
        <v>Aug</v>
      </c>
      <c r="L336">
        <f t="shared" si="11"/>
        <v>2024</v>
      </c>
    </row>
    <row r="337" spans="1:12" x14ac:dyDescent="0.45">
      <c r="A337" s="14">
        <v>45525</v>
      </c>
      <c r="B337" s="6">
        <v>2867</v>
      </c>
      <c r="C337" s="6">
        <v>210.75</v>
      </c>
      <c r="D337" s="6">
        <v>49</v>
      </c>
      <c r="E337" s="6" t="s">
        <v>10</v>
      </c>
      <c r="F337" s="6" t="s">
        <v>11</v>
      </c>
      <c r="G337" s="6" t="s">
        <v>12</v>
      </c>
      <c r="H337" s="6" t="s">
        <v>35</v>
      </c>
      <c r="I337" s="6" t="s">
        <v>34</v>
      </c>
      <c r="J337" s="7">
        <v>1046</v>
      </c>
      <c r="K337" t="str">
        <f t="shared" si="10"/>
        <v>Aug</v>
      </c>
      <c r="L337">
        <f t="shared" si="11"/>
        <v>2024</v>
      </c>
    </row>
    <row r="338" spans="1:12" x14ac:dyDescent="0.45">
      <c r="A338" s="13">
        <v>45506</v>
      </c>
      <c r="B338" s="4">
        <v>1480</v>
      </c>
      <c r="C338" s="4">
        <v>25.12</v>
      </c>
      <c r="D338" s="4">
        <v>49</v>
      </c>
      <c r="E338" s="4" t="s">
        <v>10</v>
      </c>
      <c r="F338" s="4" t="s">
        <v>15</v>
      </c>
      <c r="G338" s="4" t="s">
        <v>12</v>
      </c>
      <c r="H338" s="4" t="s">
        <v>28</v>
      </c>
      <c r="I338" s="4" t="s">
        <v>14</v>
      </c>
      <c r="J338" s="5">
        <v>704</v>
      </c>
      <c r="K338" t="str">
        <f t="shared" si="10"/>
        <v>Aug</v>
      </c>
      <c r="L338">
        <f t="shared" si="11"/>
        <v>2024</v>
      </c>
    </row>
    <row r="339" spans="1:12" x14ac:dyDescent="0.45">
      <c r="A339" s="14">
        <v>45496</v>
      </c>
      <c r="B339" s="6">
        <v>2165</v>
      </c>
      <c r="C339" s="6">
        <v>211.25</v>
      </c>
      <c r="D339" s="6">
        <v>49</v>
      </c>
      <c r="E339" s="6" t="s">
        <v>10</v>
      </c>
      <c r="F339" s="6" t="s">
        <v>15</v>
      </c>
      <c r="G339" s="6" t="s">
        <v>16</v>
      </c>
      <c r="H339" s="6" t="s">
        <v>23</v>
      </c>
      <c r="I339" s="6" t="s">
        <v>24</v>
      </c>
      <c r="J339" s="7">
        <v>2741</v>
      </c>
      <c r="K339" t="str">
        <f t="shared" si="10"/>
        <v>Jul</v>
      </c>
      <c r="L339">
        <f t="shared" si="11"/>
        <v>2024</v>
      </c>
    </row>
    <row r="340" spans="1:12" x14ac:dyDescent="0.45">
      <c r="A340" s="13">
        <v>45781</v>
      </c>
      <c r="B340" s="4">
        <v>787</v>
      </c>
      <c r="C340" s="4">
        <v>44.68</v>
      </c>
      <c r="D340" s="4">
        <v>49</v>
      </c>
      <c r="E340" s="4" t="s">
        <v>27</v>
      </c>
      <c r="F340" s="4" t="s">
        <v>1</v>
      </c>
      <c r="G340" s="4" t="s">
        <v>22</v>
      </c>
      <c r="H340" s="4" t="s">
        <v>28</v>
      </c>
      <c r="I340" s="4" t="s">
        <v>24</v>
      </c>
      <c r="J340" s="5">
        <v>1618</v>
      </c>
      <c r="K340" t="str">
        <f t="shared" si="10"/>
        <v>May</v>
      </c>
      <c r="L340">
        <f t="shared" si="11"/>
        <v>2025</v>
      </c>
    </row>
    <row r="341" spans="1:12" x14ac:dyDescent="0.45">
      <c r="A341" s="14">
        <v>45591</v>
      </c>
      <c r="B341" s="6">
        <v>3191</v>
      </c>
      <c r="C341" s="6">
        <v>193.25</v>
      </c>
      <c r="D341" s="6">
        <v>50</v>
      </c>
      <c r="E341" s="6" t="s">
        <v>29</v>
      </c>
      <c r="F341" s="6" t="s">
        <v>15</v>
      </c>
      <c r="G341" s="6" t="s">
        <v>16</v>
      </c>
      <c r="H341" s="6" t="s">
        <v>31</v>
      </c>
      <c r="I341" s="6" t="s">
        <v>14</v>
      </c>
      <c r="J341" s="7">
        <v>1163</v>
      </c>
      <c r="K341" t="str">
        <f t="shared" si="10"/>
        <v>Oct</v>
      </c>
      <c r="L341">
        <f t="shared" si="11"/>
        <v>2024</v>
      </c>
    </row>
    <row r="342" spans="1:12" x14ac:dyDescent="0.45">
      <c r="A342" s="13">
        <v>45528</v>
      </c>
      <c r="B342" s="4">
        <v>1425</v>
      </c>
      <c r="C342" s="4">
        <v>23.14</v>
      </c>
      <c r="D342" s="4">
        <v>50</v>
      </c>
      <c r="E342" s="4" t="s">
        <v>29</v>
      </c>
      <c r="F342" s="4" t="s">
        <v>1</v>
      </c>
      <c r="G342" s="4" t="s">
        <v>12</v>
      </c>
      <c r="H342" s="4" t="s">
        <v>31</v>
      </c>
      <c r="I342" s="4" t="s">
        <v>21</v>
      </c>
      <c r="J342" s="5">
        <v>3916</v>
      </c>
      <c r="K342" t="str">
        <f t="shared" si="10"/>
        <v>Aug</v>
      </c>
      <c r="L342">
        <f t="shared" si="11"/>
        <v>2024</v>
      </c>
    </row>
    <row r="343" spans="1:12" x14ac:dyDescent="0.45">
      <c r="A343" s="14">
        <v>45651</v>
      </c>
      <c r="B343" s="6">
        <v>3790</v>
      </c>
      <c r="C343" s="6">
        <v>33.619999999999997</v>
      </c>
      <c r="D343" s="6">
        <v>50</v>
      </c>
      <c r="E343" s="6" t="s">
        <v>10</v>
      </c>
      <c r="F343" s="6" t="s">
        <v>1</v>
      </c>
      <c r="G343" s="6" t="s">
        <v>12</v>
      </c>
      <c r="H343" s="6" t="s">
        <v>28</v>
      </c>
      <c r="I343" s="6" t="s">
        <v>34</v>
      </c>
      <c r="J343" s="7">
        <v>2990</v>
      </c>
      <c r="K343" t="str">
        <f t="shared" si="10"/>
        <v>Dec</v>
      </c>
      <c r="L343">
        <f t="shared" si="11"/>
        <v>2024</v>
      </c>
    </row>
    <row r="344" spans="1:12" x14ac:dyDescent="0.45">
      <c r="A344" s="13">
        <v>45535</v>
      </c>
      <c r="B344" s="4">
        <v>3962</v>
      </c>
      <c r="C344" s="4">
        <v>201.9</v>
      </c>
      <c r="D344" s="4">
        <v>50</v>
      </c>
      <c r="E344" s="4" t="s">
        <v>10</v>
      </c>
      <c r="F344" s="4" t="s">
        <v>1</v>
      </c>
      <c r="G344" s="4" t="s">
        <v>16</v>
      </c>
      <c r="H344" s="4" t="s">
        <v>31</v>
      </c>
      <c r="I344" s="4" t="s">
        <v>26</v>
      </c>
      <c r="J344" s="5">
        <v>3137</v>
      </c>
      <c r="K344" t="str">
        <f t="shared" si="10"/>
        <v>Aug</v>
      </c>
      <c r="L344">
        <f t="shared" si="11"/>
        <v>2024</v>
      </c>
    </row>
    <row r="345" spans="1:12" x14ac:dyDescent="0.45">
      <c r="A345" s="14">
        <v>45454</v>
      </c>
      <c r="B345" s="6">
        <v>2282</v>
      </c>
      <c r="C345" s="6">
        <v>15.38</v>
      </c>
      <c r="D345" s="6">
        <v>50</v>
      </c>
      <c r="E345" s="6" t="s">
        <v>10</v>
      </c>
      <c r="F345" s="6" t="s">
        <v>15</v>
      </c>
      <c r="G345" s="6" t="s">
        <v>12</v>
      </c>
      <c r="H345" s="6" t="s">
        <v>35</v>
      </c>
      <c r="I345" s="6" t="s">
        <v>21</v>
      </c>
      <c r="J345" s="7">
        <v>1720</v>
      </c>
      <c r="K345" t="str">
        <f t="shared" si="10"/>
        <v>Jun</v>
      </c>
      <c r="L345">
        <f t="shared" si="11"/>
        <v>2024</v>
      </c>
    </row>
    <row r="346" spans="1:12" x14ac:dyDescent="0.45">
      <c r="A346" s="13">
        <v>45776</v>
      </c>
      <c r="B346" s="4">
        <v>2829</v>
      </c>
      <c r="C346" s="4">
        <v>42.26</v>
      </c>
      <c r="D346" s="4">
        <v>50</v>
      </c>
      <c r="E346" s="4" t="s">
        <v>19</v>
      </c>
      <c r="F346" s="4" t="s">
        <v>1</v>
      </c>
      <c r="G346" s="4" t="s">
        <v>30</v>
      </c>
      <c r="H346" s="4" t="s">
        <v>28</v>
      </c>
      <c r="I346" s="4" t="s">
        <v>24</v>
      </c>
      <c r="J346" s="5">
        <v>3785</v>
      </c>
      <c r="K346" t="str">
        <f t="shared" si="10"/>
        <v>Apr</v>
      </c>
      <c r="L346">
        <f t="shared" si="11"/>
        <v>2025</v>
      </c>
    </row>
    <row r="347" spans="1:12" x14ac:dyDescent="0.45">
      <c r="A347" s="14">
        <v>45740</v>
      </c>
      <c r="B347" s="6">
        <v>1364</v>
      </c>
      <c r="C347" s="6">
        <v>35.1</v>
      </c>
      <c r="D347" s="6">
        <v>50</v>
      </c>
      <c r="E347" s="6" t="s">
        <v>19</v>
      </c>
      <c r="F347" s="6" t="s">
        <v>1</v>
      </c>
      <c r="G347" s="6" t="s">
        <v>16</v>
      </c>
      <c r="H347" s="6" t="s">
        <v>32</v>
      </c>
      <c r="I347" s="6" t="s">
        <v>26</v>
      </c>
      <c r="J347" s="7">
        <v>561</v>
      </c>
      <c r="K347" t="str">
        <f t="shared" si="10"/>
        <v>Mar</v>
      </c>
      <c r="L347">
        <f t="shared" si="11"/>
        <v>2025</v>
      </c>
    </row>
    <row r="348" spans="1:12" x14ac:dyDescent="0.45">
      <c r="A348" s="13">
        <v>45596</v>
      </c>
      <c r="B348" s="4">
        <v>1966</v>
      </c>
      <c r="C348" s="4">
        <v>29.28</v>
      </c>
      <c r="D348" s="4">
        <v>50</v>
      </c>
      <c r="E348" s="4" t="s">
        <v>19</v>
      </c>
      <c r="F348" s="4" t="s">
        <v>1</v>
      </c>
      <c r="G348" s="4" t="s">
        <v>30</v>
      </c>
      <c r="H348" s="4" t="s">
        <v>32</v>
      </c>
      <c r="I348" s="4" t="s">
        <v>34</v>
      </c>
      <c r="J348" s="5">
        <v>1283</v>
      </c>
      <c r="K348" t="str">
        <f t="shared" si="10"/>
        <v>Oct</v>
      </c>
      <c r="L348">
        <f t="shared" si="11"/>
        <v>2024</v>
      </c>
    </row>
    <row r="349" spans="1:12" x14ac:dyDescent="0.45">
      <c r="A349" s="14">
        <v>45729</v>
      </c>
      <c r="B349" s="6">
        <v>2017</v>
      </c>
      <c r="C349" s="6">
        <v>155.9</v>
      </c>
      <c r="D349" s="6">
        <v>50</v>
      </c>
      <c r="E349" s="6" t="s">
        <v>27</v>
      </c>
      <c r="F349" s="6" t="s">
        <v>11</v>
      </c>
      <c r="G349" s="6" t="s">
        <v>16</v>
      </c>
      <c r="H349" s="6" t="s">
        <v>33</v>
      </c>
      <c r="I349" s="6" t="s">
        <v>21</v>
      </c>
      <c r="J349" s="7">
        <v>939</v>
      </c>
      <c r="K349" t="str">
        <f t="shared" si="10"/>
        <v>Mar</v>
      </c>
      <c r="L349">
        <f t="shared" si="11"/>
        <v>2025</v>
      </c>
    </row>
    <row r="350" spans="1:12" x14ac:dyDescent="0.45">
      <c r="A350" s="15">
        <v>45557</v>
      </c>
      <c r="B350" s="8">
        <v>3443</v>
      </c>
      <c r="C350" s="8">
        <v>149.45000000000002</v>
      </c>
      <c r="D350" s="8">
        <v>50</v>
      </c>
      <c r="E350" s="8" t="s">
        <v>27</v>
      </c>
      <c r="F350" s="8" t="s">
        <v>15</v>
      </c>
      <c r="G350" s="8" t="s">
        <v>30</v>
      </c>
      <c r="H350" s="8" t="s">
        <v>37</v>
      </c>
      <c r="I350" s="8" t="s">
        <v>34</v>
      </c>
      <c r="J350" s="9">
        <v>1578</v>
      </c>
      <c r="K350" t="str">
        <f t="shared" si="10"/>
        <v>Sep</v>
      </c>
      <c r="L350">
        <f t="shared" si="11"/>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Background</vt:lpstr>
      <vt:lpstr>Region wise sales</vt:lpstr>
      <vt:lpstr>Departmentwise sales</vt:lpstr>
      <vt:lpstr>Top 5 Product Wise Sales</vt:lpstr>
      <vt:lpstr>onthWise sales</vt:lpstr>
      <vt:lpstr>linechart of monthwise sales</vt:lpstr>
      <vt:lpstr>Sheet9</vt:lpstr>
      <vt:lpstr>Dashbord sheet</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manishakoli95@gmail.com</cp:lastModifiedBy>
  <dcterms:created xsi:type="dcterms:W3CDTF">2025-03-02T05:40:14Z</dcterms:created>
  <dcterms:modified xsi:type="dcterms:W3CDTF">2026-05-17T13:37:31Z</dcterms:modified>
</cp:coreProperties>
</file>